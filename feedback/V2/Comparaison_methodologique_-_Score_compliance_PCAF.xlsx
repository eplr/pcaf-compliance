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feedback/V2/"/>
    </mc:Choice>
  </mc:AlternateContent>
  <xr:revisionPtr revIDLastSave="0" documentId="13_ncr:1_{29C482C8-28B1-8848-8ACE-4554C897B963}" xr6:coauthVersionLast="47" xr6:coauthVersionMax="47" xr10:uidLastSave="{00000000-0000-0000-0000-000000000000}"/>
  <bookViews>
    <workbookView xWindow="0" yWindow="720" windowWidth="29400" windowHeight="18400" xr2:uid="{D30536EC-35B3-5641-9A30-177702726E66}"/>
  </bookViews>
  <sheets>
    <sheet name="Nordea" sheetId="1" r:id="rId1"/>
    <sheet name="Commerzbank" sheetId="3" r:id="rId2"/>
    <sheet name="Age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G61" i="4"/>
  <c r="G60" i="4"/>
  <c r="G59" i="4"/>
  <c r="G61" i="3"/>
  <c r="G59" i="3"/>
  <c r="G60" i="3"/>
  <c r="G58" i="1"/>
  <c r="G57" i="1"/>
  <c r="K36" i="1"/>
  <c r="H47" i="1" s="1"/>
  <c r="G55" i="1"/>
  <c r="S35" i="1"/>
  <c r="G57" i="4"/>
  <c r="F55" i="4"/>
  <c r="G56" i="4" s="1"/>
  <c r="G55" i="4"/>
  <c r="O25" i="3"/>
  <c r="P27" i="3"/>
  <c r="G57" i="3"/>
  <c r="G55" i="3"/>
  <c r="F55" i="3"/>
  <c r="K39" i="3"/>
  <c r="H49" i="3" s="1"/>
  <c r="T38" i="3"/>
  <c r="H52" i="3" s="1"/>
  <c r="R8" i="3"/>
  <c r="B41" i="3"/>
  <c r="H44" i="3" s="1"/>
  <c r="B41" i="4"/>
  <c r="H44" i="4" s="1"/>
  <c r="S37" i="4"/>
  <c r="H52" i="4" s="1"/>
  <c r="K38" i="4"/>
  <c r="H49" i="4" s="1"/>
  <c r="P27" i="4"/>
  <c r="G27" i="4"/>
  <c r="B39" i="1" l="1"/>
  <c r="H42" i="1" s="1"/>
  <c r="G27" i="3"/>
  <c r="F25" i="3"/>
  <c r="G25" i="3"/>
  <c r="G25" i="1"/>
  <c r="P25" i="1"/>
  <c r="G26" i="3" l="1"/>
  <c r="P25" i="4"/>
  <c r="O25" i="4"/>
  <c r="P26" i="4" s="1"/>
  <c r="G25" i="4"/>
  <c r="F25" i="4"/>
  <c r="P25" i="3"/>
  <c r="P23" i="1"/>
  <c r="O23" i="1"/>
  <c r="F23" i="1"/>
  <c r="G23" i="1"/>
  <c r="F53" i="1"/>
  <c r="G53" i="1"/>
  <c r="G26" i="4" l="1"/>
  <c r="P26" i="3"/>
  <c r="G56" i="3"/>
  <c r="G24" i="1"/>
  <c r="G54" i="1"/>
  <c r="P24" i="1"/>
</calcChain>
</file>

<file path=xl/sharedStrings.xml><?xml version="1.0" encoding="utf-8"?>
<sst xmlns="http://schemas.openxmlformats.org/spreadsheetml/2006/main" count="1012" uniqueCount="136">
  <si>
    <t>company</t>
  </si>
  <si>
    <t>assessment_date</t>
  </si>
  <si>
    <t>institution_type</t>
  </si>
  <si>
    <t>pcaf_part</t>
  </si>
  <si>
    <t>criterion</t>
  </si>
  <si>
    <t>score</t>
  </si>
  <si>
    <t>max_score</t>
  </si>
  <si>
    <t>Part A</t>
  </si>
  <si>
    <t>Asset Class Coverage</t>
  </si>
  <si>
    <t>Data Quality Score</t>
  </si>
  <si>
    <t>Attribution Methodology</t>
  </si>
  <si>
    <t>Scope Coverage</t>
  </si>
  <si>
    <t>Portfolio Coverage</t>
  </si>
  <si>
    <t>Sovereign Debt Inclusion</t>
  </si>
  <si>
    <t>Temporal Coverage</t>
  </si>
  <si>
    <t>Intensity Metrics</t>
  </si>
  <si>
    <t>Part C</t>
  </si>
  <si>
    <t>Insurance Lines Coverage</t>
  </si>
  <si>
    <t>Commercial Lines</t>
  </si>
  <si>
    <t>Motor Insurance</t>
  </si>
  <si>
    <t>Project Insurance</t>
  </si>
  <si>
    <t>Treaty Reinsurance</t>
  </si>
  <si>
    <t>Underwriting Integration</t>
  </si>
  <si>
    <t>Data Quality</t>
  </si>
  <si>
    <t xml:space="preserve">Nordea </t>
  </si>
  <si>
    <t>Nordea</t>
  </si>
  <si>
    <t>Bank</t>
  </si>
  <si>
    <t>Classe d’actifs</t>
  </si>
  <si>
    <t>Total Coef.</t>
  </si>
  <si>
    <t>Périmètre</t>
  </si>
  <si>
    <t>Commentaires</t>
  </si>
  <si>
    <t>S3</t>
  </si>
  <si>
    <t>Coef. S3</t>
  </si>
  <si>
    <t>Actions cotées et obligations de sociétés</t>
  </si>
  <si>
    <t xml:space="preserve">Obligatoire </t>
  </si>
  <si>
    <t>Justifications exclusions accorde 50%</t>
  </si>
  <si>
    <t>Prêts aux entreprises et capitaux propres non cotés</t>
  </si>
  <si>
    <t xml:space="preserve">Idem </t>
  </si>
  <si>
    <t>Financement de projets</t>
  </si>
  <si>
    <t xml:space="preserve">Seulement si pertinent </t>
  </si>
  <si>
    <t>Immobilier commercial</t>
  </si>
  <si>
    <t>Idem, bâtiments déjà construits seulement</t>
  </si>
  <si>
    <t>Hypothèques</t>
  </si>
  <si>
    <t>idem</t>
  </si>
  <si>
    <t>Prêts pour véhicules à moteur</t>
  </si>
  <si>
    <t xml:space="preserve">Facultatif </t>
  </si>
  <si>
    <t>Dette souveraine</t>
  </si>
  <si>
    <t>Conso-based approach</t>
  </si>
  <si>
    <t>LULUCF (+/-)</t>
  </si>
  <si>
    <t xml:space="preserve">Total </t>
  </si>
  <si>
    <t>Part B</t>
  </si>
  <si>
    <t xml:space="preserve">Dette Publique </t>
  </si>
  <si>
    <t>Actions Publiques</t>
  </si>
  <si>
    <t xml:space="preserve">Private Equity </t>
  </si>
  <si>
    <t>Private Debt</t>
  </si>
  <si>
    <t xml:space="preserve">Consortia Loans (Prêts Syndiqués) </t>
  </si>
  <si>
    <t>Obligatoire</t>
  </si>
  <si>
    <t xml:space="preserve">Assurance Commercial Lines  </t>
  </si>
  <si>
    <t>Réassurance Commercial Lines</t>
  </si>
  <si>
    <t xml:space="preserve">Personnal Motor Lines </t>
  </si>
  <si>
    <t>Réassurance personnal Motor</t>
  </si>
  <si>
    <t>N/A</t>
  </si>
  <si>
    <t>Total score</t>
  </si>
  <si>
    <t xml:space="preserve">Résultats Lucie </t>
  </si>
  <si>
    <t>p.163</t>
  </si>
  <si>
    <t>2/2</t>
  </si>
  <si>
    <t>1/1</t>
  </si>
  <si>
    <t>(75%)</t>
  </si>
  <si>
    <t xml:space="preserve">Commentaires </t>
  </si>
  <si>
    <t>Pas de détails / justification = 50%</t>
  </si>
  <si>
    <t>Commerzbank</t>
  </si>
  <si>
    <t>Ancienne Méthode</t>
  </si>
  <si>
    <t>Nouvelle Méthode</t>
  </si>
  <si>
    <t>Total % (équipondération)</t>
  </si>
  <si>
    <t>Total % (pondération banque)</t>
  </si>
  <si>
    <t>Total (équipondération)</t>
  </si>
  <si>
    <t>Pondération à faire en fonction de la part du CA</t>
  </si>
  <si>
    <t>justif p.104</t>
  </si>
  <si>
    <t>Ageas</t>
  </si>
  <si>
    <t>0/3</t>
  </si>
  <si>
    <t>0/1</t>
  </si>
  <si>
    <t>1/2</t>
  </si>
  <si>
    <t>3/3</t>
  </si>
  <si>
    <t>Capital Markets Activity</t>
  </si>
  <si>
    <t>Emission Attribution</t>
  </si>
  <si>
    <t>S1 &amp; S2</t>
  </si>
  <si>
    <t>Coef. S1 &amp; S2</t>
  </si>
  <si>
    <t>6/6</t>
  </si>
  <si>
    <t>0,5/0,5</t>
  </si>
  <si>
    <t>17/18</t>
  </si>
  <si>
    <t xml:space="preserve">Si possible </t>
  </si>
  <si>
    <t>Justifications exclusions accorde 50% des points</t>
  </si>
  <si>
    <t>0/2</t>
  </si>
  <si>
    <t>0/6</t>
  </si>
  <si>
    <t>0/10</t>
  </si>
  <si>
    <t>Remarque :</t>
  </si>
  <si>
    <t>Nordea n'a pas d'activité d'assurance dommage, elle  publie donc  ses émissions liées à l'assurance- vie dans les emissions financées</t>
  </si>
  <si>
    <t>0,5/2</t>
  </si>
  <si>
    <t>2 annees</t>
  </si>
  <si>
    <t>publié séparemment avec méthode</t>
  </si>
  <si>
    <t>scope 1 et 2 et scope 3 de certaines classes</t>
  </si>
  <si>
    <t xml:space="preserve">utilise pcaf pour les classes d'actifs couvertes </t>
  </si>
  <si>
    <t>2,12 pour listed equities et 2 pour sovereign debt</t>
  </si>
  <si>
    <t>2/10</t>
  </si>
  <si>
    <t>pourle scope 3, proxy (score 4-5)</t>
  </si>
  <si>
    <t>méthode PCAF</t>
  </si>
  <si>
    <t>6/8</t>
  </si>
  <si>
    <t>0/0,5</t>
  </si>
  <si>
    <t>6,5/18</t>
  </si>
  <si>
    <t>18/18</t>
  </si>
  <si>
    <t xml:space="preserve">54% </t>
  </si>
  <si>
    <t>?/3</t>
  </si>
  <si>
    <t>?/1</t>
  </si>
  <si>
    <t>?/8</t>
  </si>
  <si>
    <t xml:space="preserve">emissions liées aux activités d'assurance publiées dans les emissions financées sur les scope 1, 2 et 3 cmais pas d'indication sur les branches couvertes par le calcul </t>
  </si>
  <si>
    <t xml:space="preserve">commentaires </t>
  </si>
  <si>
    <t>0/8</t>
  </si>
  <si>
    <t>DQS moyen entre 3 et 4</t>
  </si>
  <si>
    <t>Scope1, 2 et 3 couvert</t>
  </si>
  <si>
    <t xml:space="preserve">intégrée pleinement dans une publication séparée </t>
  </si>
  <si>
    <t>EVIC</t>
  </si>
  <si>
    <t>commentaires</t>
  </si>
  <si>
    <t>DQS moyen</t>
  </si>
  <si>
    <t xml:space="preserve">Méthode pcaf complète </t>
  </si>
  <si>
    <t xml:space="preserve">Scope 1 2 3 couvert </t>
  </si>
  <si>
    <t xml:space="preserve">intégrée pleinement </t>
  </si>
  <si>
    <t>2 années</t>
  </si>
  <si>
    <t>intensité multiples</t>
  </si>
  <si>
    <t xml:space="preserve">pas de données </t>
  </si>
  <si>
    <t>pas publié séparement des emissions financées mais détails par branches publié</t>
  </si>
  <si>
    <t>pas de données</t>
  </si>
  <si>
    <t>méthode PCAF utilisée</t>
  </si>
  <si>
    <t>Compliance A %</t>
  </si>
  <si>
    <t>Compliance B %</t>
  </si>
  <si>
    <t>Compliance C %</t>
  </si>
  <si>
    <t>Résultats Eddy-Pierre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</si>
</sst>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8"/>
      <color theme="1"/>
      <name val="Arial"/>
      <family val="2"/>
    </font>
    <font>
      <i/>
      <sz val="10"/>
      <color rgb="FF000000"/>
      <name val="Arial"/>
      <family val="2"/>
    </font>
    <font>
      <sz val="10"/>
      <color theme="1"/>
      <name val="Aptos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rgb="FFE59EDC"/>
        <bgColor indexed="64"/>
      </patternFill>
    </fill>
    <fill>
      <patternFill patternType="solid">
        <fgColor rgb="FFF2CEE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EBF2"/>
        <bgColor indexed="64"/>
      </patternFill>
    </fill>
    <fill>
      <patternFill patternType="solid">
        <fgColor rgb="FFF2CEED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B5B9"/>
        <bgColor indexed="64"/>
      </patternFill>
    </fill>
  </fills>
  <borders count="9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0" fontId="7" fillId="0" borderId="0" xfId="0" applyFont="1"/>
    <xf numFmtId="0" fontId="5" fillId="2" borderId="0" xfId="0" applyFont="1" applyFill="1"/>
    <xf numFmtId="0" fontId="6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14" fontId="6" fillId="2" borderId="0" xfId="0" applyNumberFormat="1" applyFont="1" applyFill="1"/>
    <xf numFmtId="0" fontId="6" fillId="2" borderId="0" xfId="0" applyFont="1" applyFill="1"/>
    <xf numFmtId="16" fontId="6" fillId="0" borderId="0" xfId="0" quotePrefix="1" applyNumberFormat="1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9" fontId="0" fillId="0" borderId="0" xfId="0" applyNumberFormat="1"/>
    <xf numFmtId="9" fontId="0" fillId="0" borderId="0" xfId="0" quotePrefix="1" applyNumberFormat="1"/>
    <xf numFmtId="9" fontId="0" fillId="0" borderId="0" xfId="1" applyFont="1"/>
    <xf numFmtId="9" fontId="6" fillId="2" borderId="0" xfId="1" applyFont="1" applyFill="1"/>
    <xf numFmtId="0" fontId="0" fillId="2" borderId="0" xfId="0" applyFill="1"/>
    <xf numFmtId="0" fontId="3" fillId="2" borderId="0" xfId="0" applyFont="1" applyFill="1"/>
    <xf numFmtId="9" fontId="0" fillId="2" borderId="0" xfId="1" applyFont="1" applyFill="1"/>
    <xf numFmtId="0" fontId="6" fillId="2" borderId="0" xfId="0" applyFont="1" applyFill="1" applyAlignment="1">
      <alignment vertical="center" wrapText="1"/>
    </xf>
    <xf numFmtId="9" fontId="6" fillId="2" borderId="0" xfId="1" applyFont="1" applyFill="1" applyBorder="1" applyAlignment="1">
      <alignment vertical="center" wrapText="1"/>
    </xf>
    <xf numFmtId="9" fontId="0" fillId="0" borderId="0" xfId="1" applyFont="1" applyFill="1"/>
    <xf numFmtId="0" fontId="5" fillId="6" borderId="0" xfId="0" applyFont="1" applyFill="1"/>
    <xf numFmtId="14" fontId="6" fillId="6" borderId="0" xfId="0" applyNumberFormat="1" applyFont="1" applyFill="1"/>
    <xf numFmtId="0" fontId="6" fillId="6" borderId="0" xfId="0" applyFont="1" applyFill="1"/>
    <xf numFmtId="9" fontId="6" fillId="6" borderId="0" xfId="1" applyFont="1" applyFill="1"/>
    <xf numFmtId="0" fontId="6" fillId="4" borderId="0" xfId="0" applyFont="1" applyFill="1" applyAlignment="1">
      <alignment vertical="center" wrapText="1"/>
    </xf>
    <xf numFmtId="9" fontId="6" fillId="0" borderId="0" xfId="1" applyFont="1"/>
    <xf numFmtId="0" fontId="10" fillId="0" borderId="0" xfId="0" applyFont="1"/>
    <xf numFmtId="0" fontId="6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0" fontId="6" fillId="8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9" fontId="6" fillId="0" borderId="0" xfId="0" applyNumberFormat="1" applyFont="1"/>
    <xf numFmtId="2" fontId="0" fillId="0" borderId="0" xfId="0" applyNumberFormat="1"/>
    <xf numFmtId="0" fontId="0" fillId="9" borderId="0" xfId="0" applyFill="1"/>
    <xf numFmtId="0" fontId="6" fillId="9" borderId="0" xfId="0" applyFont="1" applyFill="1"/>
    <xf numFmtId="0" fontId="2" fillId="9" borderId="0" xfId="0" applyFont="1" applyFill="1"/>
    <xf numFmtId="0" fontId="10" fillId="9" borderId="0" xfId="0" applyFont="1" applyFill="1"/>
    <xf numFmtId="0" fontId="6" fillId="7" borderId="0" xfId="0" applyFont="1" applyFill="1" applyAlignment="1">
      <alignment vertical="center"/>
    </xf>
    <xf numFmtId="0" fontId="6" fillId="10" borderId="0" xfId="0" applyFont="1" applyFill="1"/>
    <xf numFmtId="9" fontId="0" fillId="10" borderId="0" xfId="0" applyNumberFormat="1" applyFill="1"/>
    <xf numFmtId="0" fontId="0" fillId="10" borderId="0" xfId="0" applyFill="1"/>
    <xf numFmtId="0" fontId="5" fillId="0" borderId="1" xfId="0" applyFont="1" applyBorder="1"/>
    <xf numFmtId="14" fontId="6" fillId="0" borderId="2" xfId="0" applyNumberFormat="1" applyFont="1" applyBorder="1"/>
    <xf numFmtId="0" fontId="6" fillId="0" borderId="2" xfId="0" applyFont="1" applyBorder="1"/>
    <xf numFmtId="9" fontId="6" fillId="0" borderId="3" xfId="1" applyFont="1" applyBorder="1"/>
    <xf numFmtId="0" fontId="5" fillId="0" borderId="4" xfId="0" applyFont="1" applyBorder="1"/>
    <xf numFmtId="0" fontId="0" fillId="0" borderId="7" xfId="0" applyBorder="1"/>
    <xf numFmtId="0" fontId="0" fillId="0" borderId="8" xfId="0" applyBorder="1"/>
    <xf numFmtId="0" fontId="5" fillId="0" borderId="6" xfId="0" applyFont="1" applyBorder="1"/>
    <xf numFmtId="9" fontId="6" fillId="0" borderId="5" xfId="1" applyFont="1" applyBorder="1"/>
    <xf numFmtId="9" fontId="0" fillId="0" borderId="8" xfId="1" applyFont="1" applyBorder="1"/>
    <xf numFmtId="16" fontId="0" fillId="0" borderId="0" xfId="0" quotePrefix="1" applyNumberFormat="1"/>
    <xf numFmtId="0" fontId="6" fillId="0" borderId="0" xfId="0" applyFont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0" xfId="0" quotePrefix="1" applyFont="1" applyAlignment="1">
      <alignment vertical="center" wrapText="1"/>
    </xf>
    <xf numFmtId="0" fontId="6" fillId="7" borderId="0" xfId="0" applyFont="1" applyFill="1" applyAlignment="1">
      <alignment vertical="center" wrapText="1"/>
    </xf>
  </cellXfs>
  <cellStyles count="2">
    <cellStyle name="Normal" xfId="0" builtinId="0"/>
    <cellStyle name="Pourcentag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5B9"/>
      <color rgb="FFF0EBF2"/>
      <color rgb="FFDFD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A3FB-C709-8C4D-9C10-783283D890F1}">
  <dimension ref="A1:AC73"/>
  <sheetViews>
    <sheetView tabSelected="1" topLeftCell="A28" workbookViewId="0">
      <selection activeCell="L47" sqref="L47"/>
    </sheetView>
  </sheetViews>
  <sheetFormatPr baseColWidth="10" defaultRowHeight="16" x14ac:dyDescent="0.2"/>
  <cols>
    <col min="1" max="1" width="27.1640625" customWidth="1"/>
    <col min="2" max="2" width="11.6640625" bestFit="1" customWidth="1"/>
    <col min="4" max="5" width="13.83203125" customWidth="1"/>
    <col min="6" max="6" width="8.6640625" customWidth="1"/>
    <col min="7" max="7" width="22.1640625" customWidth="1"/>
    <col min="9" max="9" width="27.6640625" customWidth="1"/>
    <col min="14" max="14" width="13.83203125" customWidth="1"/>
    <col min="16" max="16" width="19.6640625" customWidth="1"/>
    <col min="18" max="18" width="15.83203125" customWidth="1"/>
    <col min="22" max="22" width="12.6640625" customWidth="1"/>
    <col min="24" max="24" width="21.33203125" customWidth="1"/>
    <col min="26" max="26" width="15.5" customWidth="1"/>
    <col min="30" max="30" width="18.6640625" customWidth="1"/>
  </cols>
  <sheetData>
    <row r="1" spans="1:18" ht="23" x14ac:dyDescent="0.25">
      <c r="A1" s="7" t="s">
        <v>24</v>
      </c>
    </row>
    <row r="2" spans="1:18" ht="23" x14ac:dyDescent="0.25">
      <c r="A2" s="7"/>
    </row>
    <row r="3" spans="1:18" ht="23" x14ac:dyDescent="0.25">
      <c r="A3" s="7"/>
    </row>
    <row r="4" spans="1:18" ht="22" x14ac:dyDescent="0.3">
      <c r="A4" s="3" t="s">
        <v>71</v>
      </c>
    </row>
    <row r="5" spans="1:18" x14ac:dyDescent="0.2">
      <c r="A5" s="2" t="s">
        <v>135</v>
      </c>
      <c r="J5" s="2" t="s">
        <v>63</v>
      </c>
      <c r="R5" s="2" t="s">
        <v>115</v>
      </c>
    </row>
    <row r="6" spans="1:18" x14ac:dyDescent="0.2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4"/>
      <c r="I6" s="4"/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</row>
    <row r="7" spans="1:18" x14ac:dyDescent="0.2">
      <c r="A7" s="4" t="s">
        <v>25</v>
      </c>
      <c r="B7" s="5">
        <v>45657</v>
      </c>
      <c r="C7" s="6" t="s">
        <v>26</v>
      </c>
      <c r="D7" s="6" t="s">
        <v>7</v>
      </c>
      <c r="E7" s="6" t="s">
        <v>8</v>
      </c>
      <c r="F7" s="6">
        <v>5</v>
      </c>
      <c r="G7" s="6">
        <v>5</v>
      </c>
      <c r="H7" s="6"/>
      <c r="I7" s="6"/>
      <c r="J7" s="4" t="s">
        <v>25</v>
      </c>
      <c r="K7" s="5">
        <v>45657</v>
      </c>
      <c r="L7" s="6" t="s">
        <v>26</v>
      </c>
      <c r="M7" s="6" t="s">
        <v>7</v>
      </c>
      <c r="N7" s="6" t="s">
        <v>8</v>
      </c>
      <c r="O7" s="6">
        <v>5</v>
      </c>
      <c r="P7" s="6">
        <v>5</v>
      </c>
    </row>
    <row r="8" spans="1:18" x14ac:dyDescent="0.2">
      <c r="A8" s="4" t="s">
        <v>25</v>
      </c>
      <c r="B8" s="5">
        <v>45657</v>
      </c>
      <c r="C8" s="6" t="s">
        <v>26</v>
      </c>
      <c r="D8" s="6" t="s">
        <v>7</v>
      </c>
      <c r="E8" s="6" t="s">
        <v>9</v>
      </c>
      <c r="F8" s="6">
        <v>1</v>
      </c>
      <c r="G8" s="6">
        <v>5</v>
      </c>
      <c r="H8" s="6"/>
      <c r="I8" s="6"/>
      <c r="J8" s="4" t="s">
        <v>25</v>
      </c>
      <c r="K8" s="5">
        <v>45657</v>
      </c>
      <c r="L8" s="6" t="s">
        <v>26</v>
      </c>
      <c r="M8" s="6" t="s">
        <v>7</v>
      </c>
      <c r="N8" s="6" t="s">
        <v>9</v>
      </c>
      <c r="O8" s="6">
        <v>3</v>
      </c>
      <c r="P8" s="6">
        <v>5</v>
      </c>
      <c r="R8" s="53" t="s">
        <v>117</v>
      </c>
    </row>
    <row r="9" spans="1:18" x14ac:dyDescent="0.2">
      <c r="A9" s="4" t="s">
        <v>25</v>
      </c>
      <c r="B9" s="5">
        <v>45657</v>
      </c>
      <c r="C9" s="6" t="s">
        <v>26</v>
      </c>
      <c r="D9" s="6" t="s">
        <v>7</v>
      </c>
      <c r="E9" s="6" t="s">
        <v>10</v>
      </c>
      <c r="F9" s="6">
        <v>4</v>
      </c>
      <c r="G9" s="6">
        <v>5</v>
      </c>
      <c r="H9" s="6"/>
      <c r="I9" s="6"/>
      <c r="J9" s="4" t="s">
        <v>25</v>
      </c>
      <c r="K9" s="5">
        <v>45657</v>
      </c>
      <c r="L9" s="6" t="s">
        <v>26</v>
      </c>
      <c r="M9" s="6" t="s">
        <v>7</v>
      </c>
      <c r="N9" s="6" t="s">
        <v>10</v>
      </c>
      <c r="O9" s="6">
        <v>4</v>
      </c>
      <c r="P9" s="6">
        <v>5</v>
      </c>
    </row>
    <row r="10" spans="1:18" x14ac:dyDescent="0.2">
      <c r="A10" s="4" t="s">
        <v>25</v>
      </c>
      <c r="B10" s="5">
        <v>45657</v>
      </c>
      <c r="C10" s="6" t="s">
        <v>26</v>
      </c>
      <c r="D10" s="6" t="s">
        <v>7</v>
      </c>
      <c r="E10" s="6" t="s">
        <v>11</v>
      </c>
      <c r="F10" s="6">
        <v>2</v>
      </c>
      <c r="G10" s="6">
        <v>5</v>
      </c>
      <c r="H10" s="6"/>
      <c r="I10" s="6"/>
      <c r="J10" s="4" t="s">
        <v>25</v>
      </c>
      <c r="K10" s="5">
        <v>45657</v>
      </c>
      <c r="L10" s="6" t="s">
        <v>26</v>
      </c>
      <c r="M10" s="6" t="s">
        <v>7</v>
      </c>
      <c r="N10" s="6" t="s">
        <v>11</v>
      </c>
      <c r="O10" s="6">
        <v>4</v>
      </c>
      <c r="P10" s="6">
        <v>5</v>
      </c>
      <c r="R10" s="53" t="s">
        <v>118</v>
      </c>
    </row>
    <row r="11" spans="1:18" x14ac:dyDescent="0.2">
      <c r="A11" s="4" t="s">
        <v>25</v>
      </c>
      <c r="B11" s="5">
        <v>45657</v>
      </c>
      <c r="C11" s="6" t="s">
        <v>26</v>
      </c>
      <c r="D11" s="6" t="s">
        <v>7</v>
      </c>
      <c r="E11" s="6" t="s">
        <v>12</v>
      </c>
      <c r="F11" s="6">
        <v>3</v>
      </c>
      <c r="G11" s="6">
        <v>5</v>
      </c>
      <c r="H11" s="6"/>
      <c r="I11" s="6"/>
      <c r="J11" s="4" t="s">
        <v>25</v>
      </c>
      <c r="K11" s="5">
        <v>45657</v>
      </c>
      <c r="L11" s="6" t="s">
        <v>26</v>
      </c>
      <c r="M11" s="6" t="s">
        <v>7</v>
      </c>
      <c r="N11" s="6" t="s">
        <v>12</v>
      </c>
      <c r="O11" s="6">
        <v>3</v>
      </c>
      <c r="P11" s="6">
        <v>5</v>
      </c>
    </row>
    <row r="12" spans="1:18" x14ac:dyDescent="0.2">
      <c r="A12" s="4" t="s">
        <v>25</v>
      </c>
      <c r="B12" s="5">
        <v>45657</v>
      </c>
      <c r="C12" s="6" t="s">
        <v>26</v>
      </c>
      <c r="D12" s="6" t="s">
        <v>7</v>
      </c>
      <c r="E12" s="6" t="s">
        <v>13</v>
      </c>
      <c r="F12" s="6">
        <v>3</v>
      </c>
      <c r="G12" s="6">
        <v>5</v>
      </c>
      <c r="H12" s="6"/>
      <c r="I12" s="6"/>
      <c r="J12" s="4" t="s">
        <v>25</v>
      </c>
      <c r="K12" s="5">
        <v>45657</v>
      </c>
      <c r="L12" s="6" t="s">
        <v>26</v>
      </c>
      <c r="M12" s="6" t="s">
        <v>7</v>
      </c>
      <c r="N12" s="6" t="s">
        <v>13</v>
      </c>
      <c r="O12" s="6">
        <v>4</v>
      </c>
      <c r="P12" s="6">
        <v>5</v>
      </c>
      <c r="R12" s="53" t="s">
        <v>119</v>
      </c>
    </row>
    <row r="13" spans="1:18" x14ac:dyDescent="0.2">
      <c r="A13" s="4" t="s">
        <v>25</v>
      </c>
      <c r="B13" s="5">
        <v>45657</v>
      </c>
      <c r="C13" s="6" t="s">
        <v>26</v>
      </c>
      <c r="D13" s="6" t="s">
        <v>7</v>
      </c>
      <c r="E13" s="6" t="s">
        <v>14</v>
      </c>
      <c r="F13" s="6">
        <v>3</v>
      </c>
      <c r="G13" s="6">
        <v>5</v>
      </c>
      <c r="H13" s="6"/>
      <c r="I13" s="6"/>
      <c r="J13" s="4" t="s">
        <v>25</v>
      </c>
      <c r="K13" s="5">
        <v>45657</v>
      </c>
      <c r="L13" s="6" t="s">
        <v>26</v>
      </c>
      <c r="M13" s="6" t="s">
        <v>7</v>
      </c>
      <c r="N13" s="6" t="s">
        <v>14</v>
      </c>
      <c r="O13" s="6">
        <v>3</v>
      </c>
      <c r="P13" s="6">
        <v>5</v>
      </c>
      <c r="Q13" s="6"/>
    </row>
    <row r="14" spans="1:18" x14ac:dyDescent="0.2">
      <c r="A14" s="4" t="s">
        <v>25</v>
      </c>
      <c r="B14" s="5">
        <v>45657</v>
      </c>
      <c r="C14" s="6" t="s">
        <v>26</v>
      </c>
      <c r="D14" s="6" t="s">
        <v>7</v>
      </c>
      <c r="E14" s="6" t="s">
        <v>15</v>
      </c>
      <c r="F14" s="6">
        <v>3</v>
      </c>
      <c r="G14" s="6">
        <v>5</v>
      </c>
      <c r="H14" s="6"/>
      <c r="I14" s="6"/>
      <c r="J14" s="4" t="s">
        <v>25</v>
      </c>
      <c r="K14" s="5">
        <v>45657</v>
      </c>
      <c r="L14" s="6" t="s">
        <v>26</v>
      </c>
      <c r="M14" s="6" t="s">
        <v>7</v>
      </c>
      <c r="N14" s="6" t="s">
        <v>15</v>
      </c>
      <c r="O14" s="6">
        <v>4</v>
      </c>
      <c r="P14" s="6">
        <v>5</v>
      </c>
      <c r="R14" s="53" t="s">
        <v>120</v>
      </c>
    </row>
    <row r="15" spans="1:18" x14ac:dyDescent="0.2">
      <c r="A15" s="4" t="s">
        <v>25</v>
      </c>
      <c r="B15" s="5">
        <v>45657</v>
      </c>
      <c r="C15" s="6" t="s">
        <v>26</v>
      </c>
      <c r="D15" s="6" t="s">
        <v>16</v>
      </c>
      <c r="E15" s="6" t="s">
        <v>17</v>
      </c>
      <c r="F15" s="6">
        <v>0</v>
      </c>
      <c r="G15" s="6">
        <v>5</v>
      </c>
      <c r="H15" s="6"/>
      <c r="I15" s="6"/>
      <c r="J15" s="4" t="s">
        <v>25</v>
      </c>
      <c r="K15" s="5">
        <v>45657</v>
      </c>
      <c r="L15" s="6" t="s">
        <v>26</v>
      </c>
      <c r="M15" s="6" t="s">
        <v>16</v>
      </c>
      <c r="N15" s="6" t="s">
        <v>17</v>
      </c>
      <c r="O15" s="6">
        <v>0</v>
      </c>
      <c r="P15" s="6">
        <v>5</v>
      </c>
    </row>
    <row r="16" spans="1:18" x14ac:dyDescent="0.2">
      <c r="A16" s="4" t="s">
        <v>25</v>
      </c>
      <c r="B16" s="5">
        <v>45657</v>
      </c>
      <c r="C16" s="6" t="s">
        <v>26</v>
      </c>
      <c r="D16" s="6" t="s">
        <v>16</v>
      </c>
      <c r="E16" s="6" t="s">
        <v>18</v>
      </c>
      <c r="F16" s="6">
        <v>0</v>
      </c>
      <c r="G16" s="6">
        <v>5</v>
      </c>
      <c r="H16" s="6"/>
      <c r="I16" s="6"/>
      <c r="J16" s="4" t="s">
        <v>25</v>
      </c>
      <c r="K16" s="5">
        <v>45657</v>
      </c>
      <c r="L16" s="6" t="s">
        <v>26</v>
      </c>
      <c r="M16" s="6" t="s">
        <v>16</v>
      </c>
      <c r="N16" s="6" t="s">
        <v>18</v>
      </c>
      <c r="O16" s="6">
        <v>0</v>
      </c>
      <c r="P16" s="6">
        <v>5</v>
      </c>
    </row>
    <row r="17" spans="1:29" x14ac:dyDescent="0.2">
      <c r="A17" s="4" t="s">
        <v>25</v>
      </c>
      <c r="B17" s="5">
        <v>45657</v>
      </c>
      <c r="C17" s="6" t="s">
        <v>26</v>
      </c>
      <c r="D17" s="6" t="s">
        <v>16</v>
      </c>
      <c r="E17" s="6" t="s">
        <v>19</v>
      </c>
      <c r="F17" s="6">
        <v>0</v>
      </c>
      <c r="G17" s="6">
        <v>5</v>
      </c>
      <c r="H17" s="6"/>
      <c r="I17" s="6"/>
      <c r="J17" s="4" t="s">
        <v>25</v>
      </c>
      <c r="K17" s="5">
        <v>45657</v>
      </c>
      <c r="L17" s="6" t="s">
        <v>26</v>
      </c>
      <c r="M17" s="6" t="s">
        <v>16</v>
      </c>
      <c r="N17" s="6" t="s">
        <v>19</v>
      </c>
      <c r="O17" s="6">
        <v>0</v>
      </c>
      <c r="P17" s="6">
        <v>5</v>
      </c>
    </row>
    <row r="18" spans="1:29" x14ac:dyDescent="0.2">
      <c r="A18" s="4" t="s">
        <v>25</v>
      </c>
      <c r="B18" s="5">
        <v>45657</v>
      </c>
      <c r="C18" s="6" t="s">
        <v>26</v>
      </c>
      <c r="D18" s="6" t="s">
        <v>16</v>
      </c>
      <c r="E18" s="6" t="s">
        <v>20</v>
      </c>
      <c r="F18" s="6">
        <v>0</v>
      </c>
      <c r="G18" s="6">
        <v>5</v>
      </c>
      <c r="H18" s="6"/>
      <c r="I18" s="6"/>
      <c r="J18" s="4" t="s">
        <v>25</v>
      </c>
      <c r="K18" s="5">
        <v>45657</v>
      </c>
      <c r="L18" s="6" t="s">
        <v>26</v>
      </c>
      <c r="M18" s="6" t="s">
        <v>16</v>
      </c>
      <c r="N18" s="6" t="s">
        <v>20</v>
      </c>
      <c r="O18" s="6">
        <v>0</v>
      </c>
      <c r="P18" s="6">
        <v>5</v>
      </c>
    </row>
    <row r="19" spans="1:29" x14ac:dyDescent="0.2">
      <c r="A19" s="4" t="s">
        <v>25</v>
      </c>
      <c r="B19" s="5">
        <v>45657</v>
      </c>
      <c r="C19" s="6" t="s">
        <v>26</v>
      </c>
      <c r="D19" s="6" t="s">
        <v>16</v>
      </c>
      <c r="E19" s="6" t="s">
        <v>21</v>
      </c>
      <c r="F19" s="6">
        <v>0</v>
      </c>
      <c r="G19" s="6">
        <v>5</v>
      </c>
      <c r="H19" s="6"/>
      <c r="I19" s="6"/>
      <c r="J19" s="4" t="s">
        <v>25</v>
      </c>
      <c r="K19" s="5">
        <v>45657</v>
      </c>
      <c r="L19" s="6" t="s">
        <v>26</v>
      </c>
      <c r="M19" s="6" t="s">
        <v>16</v>
      </c>
      <c r="N19" s="6" t="s">
        <v>21</v>
      </c>
      <c r="O19" s="6">
        <v>0</v>
      </c>
      <c r="P19" s="6">
        <v>5</v>
      </c>
    </row>
    <row r="20" spans="1:29" x14ac:dyDescent="0.2">
      <c r="A20" s="4" t="s">
        <v>25</v>
      </c>
      <c r="B20" s="5">
        <v>45657</v>
      </c>
      <c r="C20" s="6" t="s">
        <v>26</v>
      </c>
      <c r="D20" s="6" t="s">
        <v>16</v>
      </c>
      <c r="E20" s="6" t="s">
        <v>10</v>
      </c>
      <c r="F20" s="6">
        <v>0</v>
      </c>
      <c r="G20" s="6">
        <v>5</v>
      </c>
      <c r="H20" s="6"/>
      <c r="I20" s="6"/>
      <c r="J20" s="4" t="s">
        <v>25</v>
      </c>
      <c r="K20" s="5">
        <v>45657</v>
      </c>
      <c r="L20" s="6" t="s">
        <v>26</v>
      </c>
      <c r="M20" s="6" t="s">
        <v>16</v>
      </c>
      <c r="N20" s="6" t="s">
        <v>10</v>
      </c>
      <c r="O20" s="6">
        <v>0</v>
      </c>
      <c r="P20" s="6">
        <v>5</v>
      </c>
    </row>
    <row r="21" spans="1:29" x14ac:dyDescent="0.2">
      <c r="A21" s="4" t="s">
        <v>25</v>
      </c>
      <c r="B21" s="5">
        <v>45657</v>
      </c>
      <c r="C21" s="6" t="s">
        <v>26</v>
      </c>
      <c r="D21" s="6" t="s">
        <v>16</v>
      </c>
      <c r="E21" s="6" t="s">
        <v>22</v>
      </c>
      <c r="F21" s="6">
        <v>0</v>
      </c>
      <c r="G21" s="6">
        <v>5</v>
      </c>
      <c r="H21" s="6"/>
      <c r="I21" s="6"/>
      <c r="J21" s="4" t="s">
        <v>25</v>
      </c>
      <c r="K21" s="5">
        <v>45657</v>
      </c>
      <c r="L21" s="6" t="s">
        <v>26</v>
      </c>
      <c r="M21" s="6" t="s">
        <v>16</v>
      </c>
      <c r="N21" s="6" t="s">
        <v>22</v>
      </c>
      <c r="O21" s="6">
        <v>0</v>
      </c>
      <c r="P21" s="6">
        <v>5</v>
      </c>
    </row>
    <row r="22" spans="1:29" x14ac:dyDescent="0.2">
      <c r="A22" s="4" t="s">
        <v>25</v>
      </c>
      <c r="B22" s="5">
        <v>45657</v>
      </c>
      <c r="C22" s="6" t="s">
        <v>26</v>
      </c>
      <c r="D22" s="6" t="s">
        <v>16</v>
      </c>
      <c r="E22" s="6" t="s">
        <v>23</v>
      </c>
      <c r="F22" s="6">
        <v>0</v>
      </c>
      <c r="G22" s="6">
        <v>5</v>
      </c>
      <c r="H22" s="6"/>
      <c r="I22" s="6"/>
      <c r="J22" s="4" t="s">
        <v>25</v>
      </c>
      <c r="K22" s="5">
        <v>45657</v>
      </c>
      <c r="L22" s="6" t="s">
        <v>26</v>
      </c>
      <c r="M22" s="6" t="s">
        <v>16</v>
      </c>
      <c r="N22" s="6" t="s">
        <v>23</v>
      </c>
      <c r="O22" s="6">
        <v>0</v>
      </c>
      <c r="P22" s="6">
        <v>5</v>
      </c>
    </row>
    <row r="23" spans="1:29" x14ac:dyDescent="0.2">
      <c r="A23" s="8" t="s">
        <v>49</v>
      </c>
      <c r="B23" s="22"/>
      <c r="C23" s="22"/>
      <c r="D23" s="22"/>
      <c r="E23" s="22"/>
      <c r="F23" s="22">
        <f>SUM(F7:F22)</f>
        <v>24</v>
      </c>
      <c r="G23" s="22">
        <f>SUM(G7:G22)</f>
        <v>80</v>
      </c>
      <c r="J23" s="8" t="s">
        <v>49</v>
      </c>
      <c r="K23" s="22"/>
      <c r="L23" s="22"/>
      <c r="M23" s="22"/>
      <c r="N23" s="22"/>
      <c r="O23" s="22">
        <f>SUM(O7:O22)</f>
        <v>30</v>
      </c>
      <c r="P23" s="22">
        <f>SUM(P7:P22)</f>
        <v>80</v>
      </c>
    </row>
    <row r="24" spans="1:29" x14ac:dyDescent="0.2">
      <c r="A24" s="23" t="s">
        <v>75</v>
      </c>
      <c r="B24" s="22"/>
      <c r="C24" s="22"/>
      <c r="D24" s="22"/>
      <c r="E24" s="22"/>
      <c r="F24" s="22"/>
      <c r="G24" s="24">
        <f>F23/G23</f>
        <v>0.3</v>
      </c>
      <c r="J24" s="23" t="s">
        <v>75</v>
      </c>
      <c r="K24" s="22"/>
      <c r="L24" s="22"/>
      <c r="M24" s="22"/>
      <c r="N24" s="22"/>
      <c r="O24" s="22"/>
      <c r="P24" s="24">
        <f>O23/P23</f>
        <v>0.375</v>
      </c>
    </row>
    <row r="25" spans="1:29" x14ac:dyDescent="0.2">
      <c r="A25" s="28" t="s">
        <v>74</v>
      </c>
      <c r="B25" s="29"/>
      <c r="C25" s="30"/>
      <c r="D25" s="30"/>
      <c r="E25" s="30"/>
      <c r="F25" s="30"/>
      <c r="G25" s="31">
        <f>(SUM(F7:F14)/SUM(G7:G14))*0.95+(SUM(F15:F22)/SUM(G15:G22))*0.05</f>
        <v>0.56999999999999995</v>
      </c>
      <c r="J25" s="28" t="s">
        <v>74</v>
      </c>
      <c r="K25" s="29"/>
      <c r="L25" s="30"/>
      <c r="M25" s="30"/>
      <c r="N25" s="30"/>
      <c r="O25" s="30"/>
      <c r="P25" s="31">
        <f>(SUM(O7:O14)/SUM(P7:P14))*0.95+(SUM(O15:O22)/SUM(P15:P22))*0.05</f>
        <v>0.71249999999999991</v>
      </c>
    </row>
    <row r="26" spans="1:29" x14ac:dyDescent="0.2">
      <c r="A26" s="2"/>
      <c r="G26" s="27"/>
      <c r="J26" s="2"/>
      <c r="P26" s="27"/>
    </row>
    <row r="27" spans="1:29" ht="22" x14ac:dyDescent="0.3">
      <c r="A27" s="3" t="s">
        <v>72</v>
      </c>
    </row>
    <row r="28" spans="1:29" ht="28" x14ac:dyDescent="0.2">
      <c r="A28" s="36" t="s">
        <v>27</v>
      </c>
      <c r="B28" s="36" t="s">
        <v>28</v>
      </c>
      <c r="C28" s="66" t="s">
        <v>29</v>
      </c>
      <c r="D28" s="66"/>
      <c r="E28" s="66"/>
      <c r="F28" s="66"/>
      <c r="G28" s="10" t="s">
        <v>30</v>
      </c>
      <c r="H28" s="10"/>
      <c r="J28" s="9" t="s">
        <v>27</v>
      </c>
      <c r="K28" s="9" t="s">
        <v>28</v>
      </c>
      <c r="L28" s="66" t="s">
        <v>29</v>
      </c>
      <c r="M28" s="66"/>
      <c r="N28" s="66"/>
      <c r="O28" s="66"/>
      <c r="P28" t="s">
        <v>68</v>
      </c>
      <c r="Q28" s="10"/>
      <c r="R28" s="9" t="s">
        <v>27</v>
      </c>
      <c r="S28" s="9" t="s">
        <v>28</v>
      </c>
      <c r="T28" s="32" t="s">
        <v>29</v>
      </c>
      <c r="U28" s="35"/>
      <c r="V28" s="32"/>
      <c r="W28" s="32"/>
      <c r="X28" t="s">
        <v>68</v>
      </c>
      <c r="AB28" s="10"/>
      <c r="AC28" s="10"/>
    </row>
    <row r="29" spans="1:29" ht="34" customHeight="1" x14ac:dyDescent="0.2">
      <c r="A29" s="10"/>
      <c r="B29" s="10"/>
      <c r="C29" s="11" t="s">
        <v>85</v>
      </c>
      <c r="D29" s="12" t="s">
        <v>86</v>
      </c>
      <c r="E29" s="11" t="s">
        <v>31</v>
      </c>
      <c r="F29" s="12" t="s">
        <v>32</v>
      </c>
      <c r="G29" s="10" t="s">
        <v>91</v>
      </c>
      <c r="L29" s="11" t="s">
        <v>85</v>
      </c>
      <c r="M29" s="12" t="s">
        <v>86</v>
      </c>
      <c r="N29" s="11" t="s">
        <v>31</v>
      </c>
      <c r="O29" s="12" t="s">
        <v>32</v>
      </c>
      <c r="P29" s="10" t="s">
        <v>91</v>
      </c>
      <c r="Q29" s="38"/>
      <c r="T29" s="11" t="s">
        <v>85</v>
      </c>
      <c r="U29" s="12" t="s">
        <v>86</v>
      </c>
      <c r="V29" s="11" t="s">
        <v>31</v>
      </c>
      <c r="W29" s="12" t="s">
        <v>32</v>
      </c>
      <c r="X29" s="10" t="s">
        <v>91</v>
      </c>
      <c r="AA29" s="38"/>
      <c r="AB29" s="10"/>
    </row>
    <row r="30" spans="1:29" ht="29" customHeight="1" x14ac:dyDescent="0.2">
      <c r="A30" s="10" t="s">
        <v>33</v>
      </c>
      <c r="B30" s="17" t="s">
        <v>87</v>
      </c>
      <c r="C30" s="37" t="s">
        <v>34</v>
      </c>
      <c r="D30" s="37">
        <v>3</v>
      </c>
      <c r="E30" s="37" t="s">
        <v>34</v>
      </c>
      <c r="F30" s="37">
        <v>3</v>
      </c>
      <c r="H30" s="10" t="s">
        <v>64</v>
      </c>
      <c r="J30" s="10" t="s">
        <v>51</v>
      </c>
      <c r="K30" s="10" t="s">
        <v>92</v>
      </c>
      <c r="L30" s="37" t="s">
        <v>34</v>
      </c>
      <c r="M30" s="37">
        <v>1</v>
      </c>
      <c r="N30" s="37" t="s">
        <v>34</v>
      </c>
      <c r="O30" s="37">
        <v>1</v>
      </c>
      <c r="P30" s="10"/>
      <c r="Q30" s="10"/>
      <c r="R30" s="10" t="s">
        <v>57</v>
      </c>
      <c r="S30" s="17" t="s">
        <v>79</v>
      </c>
      <c r="T30" s="37" t="s">
        <v>34</v>
      </c>
      <c r="U30" s="37">
        <v>2</v>
      </c>
      <c r="V30" s="37" t="s">
        <v>90</v>
      </c>
      <c r="W30" s="37">
        <v>1</v>
      </c>
      <c r="X30" s="10"/>
      <c r="AA30" s="10"/>
    </row>
    <row r="31" spans="1:29" ht="38" customHeight="1" x14ac:dyDescent="0.2">
      <c r="A31" s="10" t="s">
        <v>36</v>
      </c>
      <c r="B31" s="16" t="s">
        <v>87</v>
      </c>
      <c r="C31" s="37" t="s">
        <v>34</v>
      </c>
      <c r="D31" s="37">
        <v>3</v>
      </c>
      <c r="E31" s="37" t="s">
        <v>34</v>
      </c>
      <c r="F31" s="37">
        <v>3</v>
      </c>
      <c r="G31" s="10" t="s">
        <v>37</v>
      </c>
      <c r="J31" s="10" t="s">
        <v>52</v>
      </c>
      <c r="K31" s="10" t="s">
        <v>92</v>
      </c>
      <c r="L31" s="37" t="s">
        <v>34</v>
      </c>
      <c r="M31" s="37">
        <v>1</v>
      </c>
      <c r="N31" s="37" t="s">
        <v>34</v>
      </c>
      <c r="O31" s="37">
        <v>1</v>
      </c>
      <c r="P31" s="10"/>
      <c r="Q31" s="10"/>
      <c r="R31" s="10" t="s">
        <v>58</v>
      </c>
      <c r="S31" s="17" t="s">
        <v>80</v>
      </c>
      <c r="T31" s="37" t="s">
        <v>56</v>
      </c>
      <c r="U31" s="37">
        <v>0.75</v>
      </c>
      <c r="V31" s="37" t="s">
        <v>56</v>
      </c>
      <c r="W31" s="37">
        <v>0.25</v>
      </c>
      <c r="X31" s="10"/>
      <c r="AA31" s="10"/>
    </row>
    <row r="32" spans="1:29" ht="28" x14ac:dyDescent="0.2">
      <c r="A32" s="10" t="s">
        <v>38</v>
      </c>
      <c r="B32" s="17" t="s">
        <v>65</v>
      </c>
      <c r="C32" s="37" t="s">
        <v>34</v>
      </c>
      <c r="D32" s="37">
        <v>1</v>
      </c>
      <c r="E32" s="37" t="s">
        <v>39</v>
      </c>
      <c r="F32" s="37">
        <v>1</v>
      </c>
      <c r="G32" s="10" t="s">
        <v>37</v>
      </c>
      <c r="J32" s="10" t="s">
        <v>53</v>
      </c>
      <c r="K32" s="10" t="s">
        <v>92</v>
      </c>
      <c r="L32" s="37" t="s">
        <v>34</v>
      </c>
      <c r="M32" s="37">
        <v>1</v>
      </c>
      <c r="N32" s="37" t="s">
        <v>34</v>
      </c>
      <c r="O32" s="37">
        <v>1</v>
      </c>
      <c r="P32" s="10"/>
      <c r="Q32" s="10"/>
      <c r="R32" s="10" t="s">
        <v>59</v>
      </c>
      <c r="S32" s="17" t="s">
        <v>79</v>
      </c>
      <c r="T32" s="37" t="s">
        <v>34</v>
      </c>
      <c r="U32" s="37">
        <v>3</v>
      </c>
      <c r="V32" s="10"/>
      <c r="W32" s="10"/>
      <c r="X32" s="10"/>
      <c r="AA32" s="10"/>
    </row>
    <row r="33" spans="1:27" ht="32" customHeight="1" x14ac:dyDescent="0.2">
      <c r="A33" s="10" t="s">
        <v>40</v>
      </c>
      <c r="B33" s="16" t="s">
        <v>66</v>
      </c>
      <c r="C33" s="37" t="s">
        <v>34</v>
      </c>
      <c r="D33" s="37">
        <v>1</v>
      </c>
      <c r="E33" s="10"/>
      <c r="F33" s="10"/>
      <c r="G33" s="10" t="s">
        <v>41</v>
      </c>
      <c r="J33" s="10" t="s">
        <v>54</v>
      </c>
      <c r="K33" s="10" t="s">
        <v>92</v>
      </c>
      <c r="L33" s="37" t="s">
        <v>34</v>
      </c>
      <c r="M33" s="37">
        <v>1</v>
      </c>
      <c r="N33" s="37" t="s">
        <v>34</v>
      </c>
      <c r="O33" s="37">
        <v>1</v>
      </c>
      <c r="P33" s="10"/>
      <c r="Q33" s="10"/>
      <c r="R33" s="10" t="s">
        <v>60</v>
      </c>
      <c r="S33" s="17" t="s">
        <v>80</v>
      </c>
      <c r="T33" s="37" t="s">
        <v>34</v>
      </c>
      <c r="U33" s="37">
        <v>1</v>
      </c>
      <c r="V33" s="10"/>
      <c r="W33" s="10"/>
      <c r="X33" s="10"/>
      <c r="AA33" s="10"/>
    </row>
    <row r="34" spans="1:27" ht="56" x14ac:dyDescent="0.2">
      <c r="A34" s="10" t="s">
        <v>42</v>
      </c>
      <c r="B34" s="17" t="s">
        <v>88</v>
      </c>
      <c r="C34" s="37" t="s">
        <v>34</v>
      </c>
      <c r="D34" s="37">
        <v>0.5</v>
      </c>
      <c r="E34" s="10"/>
      <c r="F34" s="10"/>
      <c r="G34" s="10" t="s">
        <v>43</v>
      </c>
      <c r="J34" s="10" t="s">
        <v>55</v>
      </c>
      <c r="K34" s="10" t="s">
        <v>92</v>
      </c>
      <c r="L34" s="37" t="s">
        <v>34</v>
      </c>
      <c r="M34" s="37">
        <v>1</v>
      </c>
      <c r="N34" s="37" t="s">
        <v>34</v>
      </c>
      <c r="O34" s="37">
        <v>1</v>
      </c>
      <c r="P34" s="10"/>
      <c r="Q34" s="10"/>
      <c r="R34" s="10" t="s">
        <v>49</v>
      </c>
      <c r="S34" s="17" t="s">
        <v>116</v>
      </c>
      <c r="T34" s="13"/>
      <c r="U34" s="13"/>
      <c r="V34" s="13"/>
      <c r="W34" s="13"/>
      <c r="X34" s="13"/>
      <c r="AA34" s="13"/>
    </row>
    <row r="35" spans="1:27" ht="27" customHeight="1" x14ac:dyDescent="0.2">
      <c r="A35" s="10" t="s">
        <v>44</v>
      </c>
      <c r="B35" s="17" t="s">
        <v>88</v>
      </c>
      <c r="C35" s="37" t="s">
        <v>34</v>
      </c>
      <c r="D35" s="37">
        <v>0.5</v>
      </c>
      <c r="E35" s="10" t="s">
        <v>45</v>
      </c>
      <c r="F35" s="10"/>
      <c r="G35" s="10" t="s">
        <v>43</v>
      </c>
      <c r="J35" s="10" t="s">
        <v>49</v>
      </c>
      <c r="K35" s="10" t="s">
        <v>94</v>
      </c>
      <c r="L35" s="13"/>
      <c r="M35" s="13"/>
      <c r="N35" s="13"/>
      <c r="O35" s="13"/>
      <c r="P35" s="13"/>
      <c r="Q35" s="13"/>
      <c r="R35" s="25" t="s">
        <v>49</v>
      </c>
      <c r="S35" s="24">
        <f>0/11</f>
        <v>0</v>
      </c>
    </row>
    <row r="36" spans="1:27" x14ac:dyDescent="0.2">
      <c r="A36" s="65" t="s">
        <v>46</v>
      </c>
      <c r="B36" s="67" t="s">
        <v>81</v>
      </c>
      <c r="C36" s="37" t="s">
        <v>34</v>
      </c>
      <c r="D36" s="37">
        <v>0.5</v>
      </c>
      <c r="E36" s="68" t="s">
        <v>34</v>
      </c>
      <c r="F36" s="68">
        <v>1</v>
      </c>
      <c r="G36" s="65" t="s">
        <v>47</v>
      </c>
      <c r="J36" s="10" t="s">
        <v>49</v>
      </c>
      <c r="K36" s="20">
        <f>0/10</f>
        <v>0</v>
      </c>
      <c r="R36" s="10" t="s">
        <v>95</v>
      </c>
      <c r="S36" s="39" t="s">
        <v>96</v>
      </c>
    </row>
    <row r="37" spans="1:27" ht="16" customHeight="1" x14ac:dyDescent="0.2">
      <c r="A37" s="65"/>
      <c r="B37" s="65"/>
      <c r="C37" s="37" t="s">
        <v>48</v>
      </c>
      <c r="D37" s="37">
        <v>0.5</v>
      </c>
      <c r="E37" s="68"/>
      <c r="F37" s="68"/>
      <c r="G37" s="65"/>
    </row>
    <row r="38" spans="1:27" x14ac:dyDescent="0.2">
      <c r="A38" s="10" t="s">
        <v>49</v>
      </c>
      <c r="B38" s="17" t="s">
        <v>89</v>
      </c>
      <c r="C38" s="13"/>
      <c r="D38" s="13"/>
      <c r="E38" s="13"/>
      <c r="F38" s="13"/>
      <c r="G38" s="13"/>
      <c r="H38" s="13"/>
      <c r="I38" s="13"/>
    </row>
    <row r="39" spans="1:27" x14ac:dyDescent="0.2">
      <c r="A39" s="25" t="s">
        <v>49</v>
      </c>
      <c r="B39" s="26">
        <f>17/18</f>
        <v>0.94444444444444442</v>
      </c>
      <c r="C39" s="13"/>
      <c r="D39" s="13"/>
      <c r="E39" s="13"/>
      <c r="F39" s="13"/>
      <c r="G39" s="13"/>
      <c r="H39" s="13"/>
      <c r="I39" s="13"/>
      <c r="N39" s="1"/>
    </row>
    <row r="40" spans="1:27" x14ac:dyDescent="0.2">
      <c r="N40" s="34"/>
    </row>
    <row r="41" spans="1:27" x14ac:dyDescent="0.2">
      <c r="A41" s="8" t="s">
        <v>0</v>
      </c>
      <c r="B41" s="8" t="s">
        <v>1</v>
      </c>
      <c r="C41" s="8" t="s">
        <v>2</v>
      </c>
      <c r="D41" s="8" t="s">
        <v>3</v>
      </c>
      <c r="E41" s="8" t="s">
        <v>4</v>
      </c>
      <c r="F41" s="8" t="s">
        <v>5</v>
      </c>
      <c r="G41" s="8" t="s">
        <v>6</v>
      </c>
      <c r="N41" s="1"/>
    </row>
    <row r="42" spans="1:27" x14ac:dyDescent="0.2">
      <c r="A42" s="4" t="s">
        <v>25</v>
      </c>
      <c r="B42" s="5">
        <v>45657</v>
      </c>
      <c r="C42" s="6" t="s">
        <v>26</v>
      </c>
      <c r="D42" s="6" t="s">
        <v>7</v>
      </c>
      <c r="E42" s="6" t="s">
        <v>8</v>
      </c>
      <c r="F42" s="6">
        <v>5</v>
      </c>
      <c r="G42" s="6">
        <v>5</v>
      </c>
      <c r="H42" s="18">
        <f>B39</f>
        <v>0.94444444444444442</v>
      </c>
      <c r="N42" s="34"/>
    </row>
    <row r="43" spans="1:27" x14ac:dyDescent="0.2">
      <c r="A43" s="4" t="s">
        <v>25</v>
      </c>
      <c r="B43" s="5">
        <v>45657</v>
      </c>
      <c r="C43" s="6" t="s">
        <v>26</v>
      </c>
      <c r="D43" s="6" t="s">
        <v>7</v>
      </c>
      <c r="E43" s="6" t="s">
        <v>9</v>
      </c>
      <c r="F43" s="6">
        <v>3</v>
      </c>
      <c r="G43" s="6">
        <v>5</v>
      </c>
      <c r="N43" s="1"/>
    </row>
    <row r="44" spans="1:27" x14ac:dyDescent="0.2">
      <c r="A44" s="4" t="s">
        <v>25</v>
      </c>
      <c r="B44" s="5">
        <v>45657</v>
      </c>
      <c r="C44" s="6" t="s">
        <v>26</v>
      </c>
      <c r="D44" s="6" t="s">
        <v>7</v>
      </c>
      <c r="E44" s="6" t="s">
        <v>10</v>
      </c>
      <c r="F44" s="6">
        <v>4</v>
      </c>
      <c r="G44" s="6">
        <v>5</v>
      </c>
      <c r="N44" s="34"/>
    </row>
    <row r="45" spans="1:27" x14ac:dyDescent="0.2">
      <c r="A45" s="4" t="s">
        <v>25</v>
      </c>
      <c r="B45" s="5">
        <v>45657</v>
      </c>
      <c r="C45" s="6" t="s">
        <v>26</v>
      </c>
      <c r="D45" s="6" t="s">
        <v>7</v>
      </c>
      <c r="E45" s="6" t="s">
        <v>12</v>
      </c>
      <c r="F45" s="6">
        <v>3</v>
      </c>
      <c r="G45" s="6">
        <v>5</v>
      </c>
      <c r="H45" s="19" t="s">
        <v>67</v>
      </c>
      <c r="N45" s="1"/>
    </row>
    <row r="46" spans="1:27" x14ac:dyDescent="0.2">
      <c r="A46" s="4" t="s">
        <v>25</v>
      </c>
      <c r="B46" s="5">
        <v>45657</v>
      </c>
      <c r="C46" s="6" t="s">
        <v>26</v>
      </c>
      <c r="D46" s="6" t="s">
        <v>7</v>
      </c>
      <c r="E46" s="6" t="s">
        <v>14</v>
      </c>
      <c r="F46" s="6">
        <v>3</v>
      </c>
      <c r="G46" s="6">
        <v>3</v>
      </c>
      <c r="N46" s="34"/>
    </row>
    <row r="47" spans="1:27" x14ac:dyDescent="0.2">
      <c r="A47" s="4" t="s">
        <v>25</v>
      </c>
      <c r="B47" s="5">
        <v>45658</v>
      </c>
      <c r="C47" s="6" t="s">
        <v>26</v>
      </c>
      <c r="D47" s="6" t="s">
        <v>50</v>
      </c>
      <c r="E47" s="6" t="s">
        <v>8</v>
      </c>
      <c r="F47" s="6">
        <v>0</v>
      </c>
      <c r="G47" s="6">
        <v>5</v>
      </c>
      <c r="H47" s="18">
        <f>K36</f>
        <v>0</v>
      </c>
      <c r="N47" s="1"/>
    </row>
    <row r="48" spans="1:27" x14ac:dyDescent="0.2">
      <c r="A48" s="4" t="s">
        <v>25</v>
      </c>
      <c r="B48" s="5">
        <v>45659</v>
      </c>
      <c r="C48" s="6" t="s">
        <v>26</v>
      </c>
      <c r="D48" s="6" t="s">
        <v>50</v>
      </c>
      <c r="E48" s="6" t="s">
        <v>10</v>
      </c>
      <c r="F48" s="6">
        <v>0</v>
      </c>
      <c r="G48" s="6">
        <v>5</v>
      </c>
      <c r="N48" s="34"/>
    </row>
    <row r="49" spans="1:14" x14ac:dyDescent="0.2">
      <c r="A49" s="4" t="s">
        <v>25</v>
      </c>
      <c r="B49" s="5">
        <v>45660</v>
      </c>
      <c r="C49" s="6" t="s">
        <v>26</v>
      </c>
      <c r="D49" s="6" t="s">
        <v>50</v>
      </c>
      <c r="E49" s="6" t="s">
        <v>14</v>
      </c>
      <c r="F49" s="6">
        <v>0</v>
      </c>
      <c r="G49" s="6">
        <v>3</v>
      </c>
      <c r="N49" s="1"/>
    </row>
    <row r="50" spans="1:14" x14ac:dyDescent="0.2">
      <c r="A50" s="4" t="s">
        <v>25</v>
      </c>
      <c r="B50" s="5">
        <v>45657</v>
      </c>
      <c r="C50" s="6" t="s">
        <v>26</v>
      </c>
      <c r="D50" s="6" t="s">
        <v>16</v>
      </c>
      <c r="E50" s="6" t="s">
        <v>8</v>
      </c>
      <c r="F50" s="6" t="s">
        <v>61</v>
      </c>
      <c r="G50" s="6" t="s">
        <v>61</v>
      </c>
      <c r="H50" s="6"/>
      <c r="N50" s="34"/>
    </row>
    <row r="51" spans="1:14" x14ac:dyDescent="0.2">
      <c r="A51" s="4" t="s">
        <v>25</v>
      </c>
      <c r="B51" s="5">
        <v>45657</v>
      </c>
      <c r="C51" s="6" t="s">
        <v>26</v>
      </c>
      <c r="D51" s="6" t="s">
        <v>16</v>
      </c>
      <c r="E51" s="6" t="s">
        <v>10</v>
      </c>
      <c r="F51" s="6" t="s">
        <v>61</v>
      </c>
      <c r="G51" s="6" t="s">
        <v>61</v>
      </c>
      <c r="H51" s="6"/>
      <c r="N51" s="1"/>
    </row>
    <row r="52" spans="1:14" x14ac:dyDescent="0.2">
      <c r="A52" s="4" t="s">
        <v>25</v>
      </c>
      <c r="B52" s="5">
        <v>45657</v>
      </c>
      <c r="C52" s="6" t="s">
        <v>26</v>
      </c>
      <c r="D52" s="6" t="s">
        <v>16</v>
      </c>
      <c r="E52" s="6" t="s">
        <v>14</v>
      </c>
      <c r="F52" s="6" t="s">
        <v>61</v>
      </c>
      <c r="G52" s="6" t="s">
        <v>61</v>
      </c>
      <c r="H52" s="6"/>
      <c r="N52" s="34"/>
    </row>
    <row r="53" spans="1:14" x14ac:dyDescent="0.2">
      <c r="A53" s="8" t="s">
        <v>62</v>
      </c>
      <c r="B53" s="14"/>
      <c r="C53" s="15"/>
      <c r="D53" s="15"/>
      <c r="E53" s="15"/>
      <c r="F53" s="15">
        <f>SUM(F42:F46,F50:F52)</f>
        <v>18</v>
      </c>
      <c r="G53" s="15">
        <f>SUM(G42:G46,G50:G52)</f>
        <v>23</v>
      </c>
      <c r="N53" s="1"/>
    </row>
    <row r="54" spans="1:14" x14ac:dyDescent="0.2">
      <c r="A54" s="8" t="s">
        <v>73</v>
      </c>
      <c r="B54" s="14"/>
      <c r="C54" s="15"/>
      <c r="D54" s="15"/>
      <c r="E54" s="15"/>
      <c r="F54" s="15"/>
      <c r="G54" s="21">
        <f>F53/G53</f>
        <v>0.78260869565217395</v>
      </c>
      <c r="N54" s="34"/>
    </row>
    <row r="55" spans="1:14" x14ac:dyDescent="0.2">
      <c r="A55" s="8" t="s">
        <v>74</v>
      </c>
      <c r="B55" s="14"/>
      <c r="C55" s="15"/>
      <c r="D55" s="15"/>
      <c r="E55" s="15"/>
      <c r="F55" s="15"/>
      <c r="G55" s="21">
        <f>(SUM(F42:F46)/SUM(G42:G46))*0.95+(SUM(F47:F49)/SUM(G47:G49))*0.05</f>
        <v>0.74347826086956526</v>
      </c>
      <c r="N55" s="1"/>
    </row>
    <row r="56" spans="1:14" ht="17" thickBot="1" x14ac:dyDescent="0.25">
      <c r="N56" s="34"/>
    </row>
    <row r="57" spans="1:14" x14ac:dyDescent="0.2">
      <c r="A57" s="54" t="s">
        <v>132</v>
      </c>
      <c r="B57" s="55"/>
      <c r="C57" s="56"/>
      <c r="D57" s="56"/>
      <c r="E57" s="56"/>
      <c r="F57" s="56"/>
      <c r="G57" s="57">
        <f>SUM(F42:F46)/SUM(G42:G46)</f>
        <v>0.78260869565217395</v>
      </c>
      <c r="N57" s="1"/>
    </row>
    <row r="58" spans="1:14" x14ac:dyDescent="0.2">
      <c r="A58" s="58" t="s">
        <v>133</v>
      </c>
      <c r="B58" s="5"/>
      <c r="C58" s="6"/>
      <c r="D58" s="6"/>
      <c r="E58" s="6"/>
      <c r="F58" s="6"/>
      <c r="G58" s="62">
        <f>SUM(F47:F49)/SUM(G47:G49)</f>
        <v>0</v>
      </c>
      <c r="N58" s="34"/>
    </row>
    <row r="59" spans="1:14" ht="17" thickBot="1" x14ac:dyDescent="0.25">
      <c r="A59" s="61" t="s">
        <v>134</v>
      </c>
      <c r="B59" s="59"/>
      <c r="C59" s="59"/>
      <c r="D59" s="59"/>
      <c r="E59" s="59"/>
      <c r="F59" s="59"/>
      <c r="G59" s="60" t="s">
        <v>61</v>
      </c>
      <c r="N59" s="1"/>
    </row>
    <row r="60" spans="1:14" x14ac:dyDescent="0.2">
      <c r="N60" s="34"/>
    </row>
    <row r="61" spans="1:14" x14ac:dyDescent="0.2">
      <c r="N61" s="1"/>
    </row>
    <row r="62" spans="1:14" x14ac:dyDescent="0.2">
      <c r="E62">
        <f>5652-3617.28</f>
        <v>2034.7199999999998</v>
      </c>
      <c r="N62" s="34"/>
    </row>
    <row r="63" spans="1:14" x14ac:dyDescent="0.2">
      <c r="N63" s="1"/>
    </row>
    <row r="64" spans="1:14" x14ac:dyDescent="0.2">
      <c r="N64" s="34"/>
    </row>
    <row r="65" spans="14:14" x14ac:dyDescent="0.2">
      <c r="N65" s="1"/>
    </row>
    <row r="66" spans="14:14" x14ac:dyDescent="0.2">
      <c r="N66" s="34"/>
    </row>
    <row r="67" spans="14:14" x14ac:dyDescent="0.2">
      <c r="N67" s="1"/>
    </row>
    <row r="68" spans="14:14" x14ac:dyDescent="0.2">
      <c r="N68" s="34"/>
    </row>
    <row r="69" spans="14:14" x14ac:dyDescent="0.2">
      <c r="N69" s="1"/>
    </row>
    <row r="70" spans="14:14" x14ac:dyDescent="0.2">
      <c r="N70" s="34"/>
    </row>
    <row r="71" spans="14:14" x14ac:dyDescent="0.2">
      <c r="N71" s="1"/>
    </row>
    <row r="72" spans="14:14" x14ac:dyDescent="0.2">
      <c r="N72" s="34"/>
    </row>
    <row r="73" spans="14:14" x14ac:dyDescent="0.2">
      <c r="N73" s="1"/>
    </row>
  </sheetData>
  <mergeCells count="7">
    <mergeCell ref="G36:G37"/>
    <mergeCell ref="C28:F28"/>
    <mergeCell ref="L28:O28"/>
    <mergeCell ref="A36:A37"/>
    <mergeCell ref="B36:B37"/>
    <mergeCell ref="E36:E37"/>
    <mergeCell ref="F36:F37"/>
  </mergeCells>
  <phoneticPr fontId="11" type="noConversion"/>
  <conditionalFormatting sqref="F7:F22 O7:O22">
    <cfRule type="expression" dxfId="3" priority="1">
      <formula>$F7&lt;&gt;$O7</formula>
    </cfRule>
  </conditionalFormatting>
  <conditionalFormatting sqref="O7">
    <cfRule type="cellIs" dxfId="2" priority="2" operator="notEqual">
      <formula>$F$7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EF5A-980F-014E-AC5C-0B6DD3E22FA2}">
  <dimension ref="A1:Y61"/>
  <sheetViews>
    <sheetView topLeftCell="A33" workbookViewId="0">
      <selection activeCell="J36" sqref="J36"/>
    </sheetView>
  </sheetViews>
  <sheetFormatPr baseColWidth="10" defaultRowHeight="16" x14ac:dyDescent="0.2"/>
  <cols>
    <col min="1" max="1" width="27.1640625" customWidth="1"/>
    <col min="2" max="2" width="11.6640625" bestFit="1" customWidth="1"/>
    <col min="5" max="5" width="12.83203125" customWidth="1"/>
    <col min="7" max="7" width="20.83203125" customWidth="1"/>
    <col min="9" max="9" width="27.6640625" customWidth="1"/>
    <col min="10" max="10" width="15.33203125" customWidth="1"/>
    <col min="12" max="12" width="21.33203125" customWidth="1"/>
    <col min="14" max="14" width="22.5" customWidth="1"/>
    <col min="16" max="16" width="19.83203125" customWidth="1"/>
    <col min="19" max="19" width="15.83203125" customWidth="1"/>
    <col min="21" max="21" width="20.1640625" customWidth="1"/>
    <col min="23" max="23" width="25.33203125" customWidth="1"/>
    <col min="25" max="25" width="24.1640625" customWidth="1"/>
    <col min="31" max="31" width="18.6640625" customWidth="1"/>
  </cols>
  <sheetData>
    <row r="1" spans="1:22" ht="23" x14ac:dyDescent="0.25">
      <c r="A1" s="7" t="s">
        <v>70</v>
      </c>
      <c r="U1" s="1"/>
    </row>
    <row r="2" spans="1:22" ht="23" x14ac:dyDescent="0.25">
      <c r="A2" s="7"/>
      <c r="U2" s="34"/>
    </row>
    <row r="3" spans="1:22" ht="23" x14ac:dyDescent="0.25">
      <c r="A3" s="7"/>
      <c r="U3" s="1"/>
    </row>
    <row r="4" spans="1:22" ht="22" x14ac:dyDescent="0.3">
      <c r="A4" s="3" t="s">
        <v>71</v>
      </c>
      <c r="U4" s="34"/>
    </row>
    <row r="5" spans="1:22" x14ac:dyDescent="0.2">
      <c r="A5" s="2" t="s">
        <v>135</v>
      </c>
      <c r="J5" s="2" t="s">
        <v>63</v>
      </c>
      <c r="Q5" s="2" t="s">
        <v>121</v>
      </c>
      <c r="U5" s="1"/>
    </row>
    <row r="6" spans="1:22" x14ac:dyDescent="0.2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4"/>
      <c r="I6" s="4"/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U6" s="34"/>
    </row>
    <row r="7" spans="1:22" x14ac:dyDescent="0.2">
      <c r="A7" s="4" t="s">
        <v>70</v>
      </c>
      <c r="B7" s="5">
        <v>45657</v>
      </c>
      <c r="C7" s="6" t="s">
        <v>26</v>
      </c>
      <c r="D7" s="6" t="s">
        <v>7</v>
      </c>
      <c r="E7" s="6" t="s">
        <v>8</v>
      </c>
      <c r="F7" s="6">
        <v>5</v>
      </c>
      <c r="G7" s="6">
        <v>5</v>
      </c>
      <c r="H7" s="6"/>
      <c r="I7" s="6"/>
      <c r="J7" s="4" t="s">
        <v>70</v>
      </c>
      <c r="K7" s="5">
        <v>45657</v>
      </c>
      <c r="L7" s="6" t="s">
        <v>26</v>
      </c>
      <c r="M7" s="6" t="s">
        <v>7</v>
      </c>
      <c r="N7" s="6" t="s">
        <v>8</v>
      </c>
      <c r="O7" s="6">
        <v>5</v>
      </c>
      <c r="P7" s="6">
        <v>5</v>
      </c>
      <c r="S7" s="46">
        <v>4</v>
      </c>
      <c r="T7" s="47">
        <v>4.2</v>
      </c>
      <c r="U7" s="48">
        <v>3.1</v>
      </c>
      <c r="V7" s="46">
        <v>3.9</v>
      </c>
    </row>
    <row r="8" spans="1:22" x14ac:dyDescent="0.2">
      <c r="A8" s="4" t="s">
        <v>70</v>
      </c>
      <c r="B8" s="5">
        <v>45657</v>
      </c>
      <c r="C8" s="6" t="s">
        <v>26</v>
      </c>
      <c r="D8" s="6" t="s">
        <v>7</v>
      </c>
      <c r="E8" s="6" t="s">
        <v>9</v>
      </c>
      <c r="F8" s="6">
        <v>4</v>
      </c>
      <c r="G8" s="6">
        <v>5</v>
      </c>
      <c r="H8" s="6"/>
      <c r="I8" s="6"/>
      <c r="J8" s="4" t="s">
        <v>70</v>
      </c>
      <c r="K8" s="5">
        <v>45657</v>
      </c>
      <c r="L8" s="6" t="s">
        <v>26</v>
      </c>
      <c r="M8" s="6" t="s">
        <v>7</v>
      </c>
      <c r="N8" s="6" t="s">
        <v>9</v>
      </c>
      <c r="O8" s="6">
        <v>1</v>
      </c>
      <c r="P8" s="6">
        <v>5</v>
      </c>
      <c r="Q8" s="51" t="s">
        <v>122</v>
      </c>
      <c r="R8" s="45">
        <f>(S7*S8+T7*T8+U7*U8+V7*V8)/SUM(S8:V8)</f>
        <v>4.0512934944507624</v>
      </c>
      <c r="S8" s="46">
        <v>31382918</v>
      </c>
      <c r="T8" s="47">
        <v>33126144</v>
      </c>
      <c r="U8" s="49">
        <v>2300341</v>
      </c>
      <c r="V8" s="46">
        <v>7455933</v>
      </c>
    </row>
    <row r="9" spans="1:22" x14ac:dyDescent="0.2">
      <c r="A9" s="4" t="s">
        <v>70</v>
      </c>
      <c r="B9" s="5">
        <v>45657</v>
      </c>
      <c r="C9" s="6" t="s">
        <v>26</v>
      </c>
      <c r="D9" s="6" t="s">
        <v>7</v>
      </c>
      <c r="E9" s="6" t="s">
        <v>10</v>
      </c>
      <c r="F9" s="6">
        <v>2</v>
      </c>
      <c r="G9" s="6">
        <v>5</v>
      </c>
      <c r="H9" s="6"/>
      <c r="I9" s="6"/>
      <c r="J9" s="4" t="s">
        <v>70</v>
      </c>
      <c r="K9" s="5">
        <v>45657</v>
      </c>
      <c r="L9" s="6" t="s">
        <v>26</v>
      </c>
      <c r="M9" s="6" t="s">
        <v>7</v>
      </c>
      <c r="N9" s="6" t="s">
        <v>10</v>
      </c>
      <c r="O9" s="6">
        <v>4</v>
      </c>
      <c r="P9" s="6">
        <v>5</v>
      </c>
      <c r="Q9" s="51" t="s">
        <v>123</v>
      </c>
      <c r="U9" s="1"/>
    </row>
    <row r="10" spans="1:22" x14ac:dyDescent="0.2">
      <c r="A10" s="4" t="s">
        <v>70</v>
      </c>
      <c r="B10" s="5">
        <v>45657</v>
      </c>
      <c r="C10" s="6" t="s">
        <v>26</v>
      </c>
      <c r="D10" s="6" t="s">
        <v>7</v>
      </c>
      <c r="E10" s="6" t="s">
        <v>11</v>
      </c>
      <c r="F10" s="6">
        <v>1</v>
      </c>
      <c r="G10" s="6">
        <v>5</v>
      </c>
      <c r="H10" s="6"/>
      <c r="I10" s="6"/>
      <c r="J10" s="4" t="s">
        <v>70</v>
      </c>
      <c r="K10" s="5">
        <v>45657</v>
      </c>
      <c r="L10" s="6" t="s">
        <v>26</v>
      </c>
      <c r="M10" s="6" t="s">
        <v>7</v>
      </c>
      <c r="N10" s="6" t="s">
        <v>11</v>
      </c>
      <c r="O10" s="6">
        <v>5</v>
      </c>
      <c r="P10" s="6">
        <v>5</v>
      </c>
      <c r="Q10" s="51" t="s">
        <v>124</v>
      </c>
      <c r="U10" s="34"/>
    </row>
    <row r="11" spans="1:22" x14ac:dyDescent="0.2">
      <c r="A11" s="4" t="s">
        <v>70</v>
      </c>
      <c r="B11" s="5">
        <v>45657</v>
      </c>
      <c r="C11" s="6" t="s">
        <v>26</v>
      </c>
      <c r="D11" s="6" t="s">
        <v>7</v>
      </c>
      <c r="E11" s="6" t="s">
        <v>12</v>
      </c>
      <c r="F11" s="6">
        <v>1</v>
      </c>
      <c r="G11" s="6">
        <v>5</v>
      </c>
      <c r="H11" s="6"/>
      <c r="I11" s="6"/>
      <c r="J11" s="4" t="s">
        <v>70</v>
      </c>
      <c r="K11" s="5">
        <v>45657</v>
      </c>
      <c r="L11" s="6" t="s">
        <v>26</v>
      </c>
      <c r="M11" s="6" t="s">
        <v>7</v>
      </c>
      <c r="N11" s="6" t="s">
        <v>12</v>
      </c>
      <c r="O11" s="6">
        <v>2</v>
      </c>
      <c r="P11" s="6">
        <v>5</v>
      </c>
      <c r="Q11" s="52">
        <v>0.54</v>
      </c>
      <c r="R11" s="18"/>
      <c r="U11" s="1"/>
    </row>
    <row r="12" spans="1:22" x14ac:dyDescent="0.2">
      <c r="A12" s="4" t="s">
        <v>70</v>
      </c>
      <c r="B12" s="5">
        <v>45657</v>
      </c>
      <c r="C12" s="6" t="s">
        <v>26</v>
      </c>
      <c r="D12" s="6" t="s">
        <v>7</v>
      </c>
      <c r="E12" s="6" t="s">
        <v>13</v>
      </c>
      <c r="F12" s="6">
        <v>3</v>
      </c>
      <c r="G12" s="6">
        <v>5</v>
      </c>
      <c r="H12" s="6"/>
      <c r="I12" s="6"/>
      <c r="J12" s="4" t="s">
        <v>70</v>
      </c>
      <c r="K12" s="5">
        <v>45657</v>
      </c>
      <c r="L12" s="6" t="s">
        <v>26</v>
      </c>
      <c r="M12" s="6" t="s">
        <v>7</v>
      </c>
      <c r="N12" s="6" t="s">
        <v>13</v>
      </c>
      <c r="O12" s="6">
        <v>4</v>
      </c>
      <c r="P12" s="6">
        <v>5</v>
      </c>
      <c r="Q12" s="51" t="s">
        <v>125</v>
      </c>
      <c r="U12" s="34"/>
    </row>
    <row r="13" spans="1:22" x14ac:dyDescent="0.2">
      <c r="A13" s="4" t="s">
        <v>70</v>
      </c>
      <c r="B13" s="5">
        <v>45657</v>
      </c>
      <c r="C13" s="6" t="s">
        <v>26</v>
      </c>
      <c r="D13" s="6" t="s">
        <v>7</v>
      </c>
      <c r="E13" s="6" t="s">
        <v>14</v>
      </c>
      <c r="F13" s="6">
        <v>1</v>
      </c>
      <c r="G13" s="6">
        <v>5</v>
      </c>
      <c r="H13" s="6"/>
      <c r="I13" s="6"/>
      <c r="J13" s="4" t="s">
        <v>70</v>
      </c>
      <c r="K13" s="5">
        <v>45657</v>
      </c>
      <c r="L13" s="6" t="s">
        <v>26</v>
      </c>
      <c r="M13" s="6" t="s">
        <v>7</v>
      </c>
      <c r="N13" s="6" t="s">
        <v>14</v>
      </c>
      <c r="O13" s="6">
        <v>2</v>
      </c>
      <c r="P13" s="6">
        <v>5</v>
      </c>
      <c r="Q13" s="51" t="s">
        <v>126</v>
      </c>
      <c r="R13" s="6"/>
      <c r="U13" s="1"/>
    </row>
    <row r="14" spans="1:22" x14ac:dyDescent="0.2">
      <c r="A14" s="4" t="s">
        <v>70</v>
      </c>
      <c r="B14" s="5">
        <v>45657</v>
      </c>
      <c r="C14" s="6" t="s">
        <v>26</v>
      </c>
      <c r="D14" s="6" t="s">
        <v>7</v>
      </c>
      <c r="E14" s="6" t="s">
        <v>15</v>
      </c>
      <c r="F14" s="6">
        <v>1</v>
      </c>
      <c r="G14" s="6">
        <v>5</v>
      </c>
      <c r="H14" s="6"/>
      <c r="I14" s="6"/>
      <c r="J14" s="4" t="s">
        <v>70</v>
      </c>
      <c r="K14" s="5">
        <v>45657</v>
      </c>
      <c r="L14" s="6" t="s">
        <v>26</v>
      </c>
      <c r="M14" s="6" t="s">
        <v>7</v>
      </c>
      <c r="N14" s="6" t="s">
        <v>15</v>
      </c>
      <c r="O14" s="6">
        <v>2</v>
      </c>
      <c r="P14" s="6">
        <v>5</v>
      </c>
      <c r="Q14" s="51" t="s">
        <v>127</v>
      </c>
      <c r="U14" s="34"/>
    </row>
    <row r="15" spans="1:22" x14ac:dyDescent="0.2">
      <c r="A15" s="4" t="s">
        <v>70</v>
      </c>
      <c r="B15" s="5">
        <v>45658</v>
      </c>
      <c r="C15" s="6" t="s">
        <v>26</v>
      </c>
      <c r="D15" s="6" t="s">
        <v>50</v>
      </c>
      <c r="E15" s="6" t="s">
        <v>83</v>
      </c>
      <c r="F15" s="6">
        <v>1</v>
      </c>
      <c r="G15" s="6">
        <v>5</v>
      </c>
      <c r="H15" s="6"/>
      <c r="I15" s="6"/>
      <c r="J15" s="4" t="s">
        <v>70</v>
      </c>
      <c r="K15" s="5">
        <v>45658</v>
      </c>
      <c r="L15" s="6" t="s">
        <v>26</v>
      </c>
      <c r="M15" s="6" t="s">
        <v>50</v>
      </c>
      <c r="N15" s="6" t="s">
        <v>83</v>
      </c>
      <c r="O15" s="6">
        <v>0</v>
      </c>
      <c r="P15" s="6">
        <v>5</v>
      </c>
      <c r="Q15" s="51" t="s">
        <v>128</v>
      </c>
      <c r="U15" s="1"/>
    </row>
    <row r="16" spans="1:22" x14ac:dyDescent="0.2">
      <c r="A16" s="4" t="s">
        <v>70</v>
      </c>
      <c r="B16" s="5">
        <v>45659</v>
      </c>
      <c r="C16" s="6" t="s">
        <v>26</v>
      </c>
      <c r="D16" s="6" t="s">
        <v>50</v>
      </c>
      <c r="E16" s="6" t="s">
        <v>84</v>
      </c>
      <c r="F16" s="6">
        <v>1</v>
      </c>
      <c r="G16" s="6">
        <v>5</v>
      </c>
      <c r="H16" s="6"/>
      <c r="I16" s="6"/>
      <c r="J16" s="4" t="s">
        <v>70</v>
      </c>
      <c r="K16" s="5">
        <v>45659</v>
      </c>
      <c r="L16" s="6" t="s">
        <v>26</v>
      </c>
      <c r="M16" s="6" t="s">
        <v>50</v>
      </c>
      <c r="N16" s="6" t="s">
        <v>84</v>
      </c>
      <c r="O16" s="6">
        <v>0</v>
      </c>
      <c r="P16" s="6">
        <v>5</v>
      </c>
      <c r="Q16" s="51" t="s">
        <v>128</v>
      </c>
      <c r="U16" s="34"/>
    </row>
    <row r="17" spans="1:25" x14ac:dyDescent="0.2">
      <c r="A17" s="4" t="s">
        <v>70</v>
      </c>
      <c r="B17" s="5">
        <v>45657</v>
      </c>
      <c r="C17" s="6" t="s">
        <v>26</v>
      </c>
      <c r="D17" s="6" t="s">
        <v>16</v>
      </c>
      <c r="E17" s="6" t="s">
        <v>17</v>
      </c>
      <c r="F17" s="6">
        <v>0</v>
      </c>
      <c r="G17" s="6">
        <v>5</v>
      </c>
      <c r="H17" s="6"/>
      <c r="I17" s="6"/>
      <c r="J17" s="4" t="s">
        <v>70</v>
      </c>
      <c r="K17" s="5">
        <v>45657</v>
      </c>
      <c r="L17" s="6" t="s">
        <v>26</v>
      </c>
      <c r="M17" s="6" t="s">
        <v>16</v>
      </c>
      <c r="N17" s="6" t="s">
        <v>17</v>
      </c>
      <c r="O17" s="6">
        <v>0</v>
      </c>
      <c r="P17" s="6">
        <v>5</v>
      </c>
      <c r="U17" s="1"/>
    </row>
    <row r="18" spans="1:25" x14ac:dyDescent="0.2">
      <c r="A18" s="4" t="s">
        <v>70</v>
      </c>
      <c r="B18" s="5">
        <v>45657</v>
      </c>
      <c r="C18" s="6" t="s">
        <v>26</v>
      </c>
      <c r="D18" s="6" t="s">
        <v>16</v>
      </c>
      <c r="E18" s="6" t="s">
        <v>18</v>
      </c>
      <c r="F18" s="6">
        <v>0</v>
      </c>
      <c r="G18" s="6">
        <v>5</v>
      </c>
      <c r="H18" s="6"/>
      <c r="I18" s="6"/>
      <c r="J18" s="4" t="s">
        <v>70</v>
      </c>
      <c r="K18" s="5">
        <v>45657</v>
      </c>
      <c r="L18" s="6" t="s">
        <v>26</v>
      </c>
      <c r="M18" s="6" t="s">
        <v>16</v>
      </c>
      <c r="N18" s="6" t="s">
        <v>18</v>
      </c>
      <c r="O18" s="6">
        <v>0</v>
      </c>
      <c r="P18" s="6">
        <v>5</v>
      </c>
      <c r="U18" s="34"/>
    </row>
    <row r="19" spans="1:25" x14ac:dyDescent="0.2">
      <c r="A19" s="4" t="s">
        <v>70</v>
      </c>
      <c r="B19" s="5">
        <v>45657</v>
      </c>
      <c r="C19" s="6" t="s">
        <v>26</v>
      </c>
      <c r="D19" s="6" t="s">
        <v>16</v>
      </c>
      <c r="E19" s="6" t="s">
        <v>19</v>
      </c>
      <c r="F19" s="6">
        <v>0</v>
      </c>
      <c r="G19" s="6">
        <v>5</v>
      </c>
      <c r="H19" s="6"/>
      <c r="I19" s="6"/>
      <c r="J19" s="4" t="s">
        <v>70</v>
      </c>
      <c r="K19" s="5">
        <v>45657</v>
      </c>
      <c r="L19" s="6" t="s">
        <v>26</v>
      </c>
      <c r="M19" s="6" t="s">
        <v>16</v>
      </c>
      <c r="N19" s="6" t="s">
        <v>19</v>
      </c>
      <c r="O19" s="6">
        <v>0</v>
      </c>
      <c r="P19" s="6">
        <v>5</v>
      </c>
      <c r="U19" s="1"/>
    </row>
    <row r="20" spans="1:25" x14ac:dyDescent="0.2">
      <c r="A20" s="4" t="s">
        <v>70</v>
      </c>
      <c r="B20" s="5">
        <v>45657</v>
      </c>
      <c r="C20" s="6" t="s">
        <v>26</v>
      </c>
      <c r="D20" s="6" t="s">
        <v>16</v>
      </c>
      <c r="E20" s="6" t="s">
        <v>20</v>
      </c>
      <c r="F20" s="6">
        <v>0</v>
      </c>
      <c r="G20" s="6">
        <v>5</v>
      </c>
      <c r="H20" s="6"/>
      <c r="I20" s="6"/>
      <c r="J20" s="4" t="s">
        <v>70</v>
      </c>
      <c r="K20" s="5">
        <v>45657</v>
      </c>
      <c r="L20" s="6" t="s">
        <v>26</v>
      </c>
      <c r="M20" s="6" t="s">
        <v>16</v>
      </c>
      <c r="N20" s="6" t="s">
        <v>20</v>
      </c>
      <c r="O20" s="6">
        <v>0</v>
      </c>
      <c r="P20" s="6">
        <v>5</v>
      </c>
      <c r="U20" s="34"/>
    </row>
    <row r="21" spans="1:25" x14ac:dyDescent="0.2">
      <c r="A21" s="4" t="s">
        <v>70</v>
      </c>
      <c r="B21" s="5">
        <v>45657</v>
      </c>
      <c r="C21" s="6" t="s">
        <v>26</v>
      </c>
      <c r="D21" s="6" t="s">
        <v>16</v>
      </c>
      <c r="E21" s="6" t="s">
        <v>21</v>
      </c>
      <c r="F21" s="6">
        <v>0</v>
      </c>
      <c r="G21" s="6">
        <v>5</v>
      </c>
      <c r="H21" s="6"/>
      <c r="I21" s="6"/>
      <c r="J21" s="4" t="s">
        <v>70</v>
      </c>
      <c r="K21" s="5">
        <v>45657</v>
      </c>
      <c r="L21" s="6" t="s">
        <v>26</v>
      </c>
      <c r="M21" s="6" t="s">
        <v>16</v>
      </c>
      <c r="N21" s="6" t="s">
        <v>21</v>
      </c>
      <c r="O21" s="6">
        <v>0</v>
      </c>
      <c r="P21" s="6">
        <v>5</v>
      </c>
      <c r="U21" s="1"/>
    </row>
    <row r="22" spans="1:25" x14ac:dyDescent="0.2">
      <c r="A22" s="4" t="s">
        <v>70</v>
      </c>
      <c r="B22" s="5">
        <v>45657</v>
      </c>
      <c r="C22" s="6" t="s">
        <v>26</v>
      </c>
      <c r="D22" s="6" t="s">
        <v>16</v>
      </c>
      <c r="E22" s="6" t="s">
        <v>10</v>
      </c>
      <c r="F22" s="6">
        <v>0</v>
      </c>
      <c r="G22" s="6">
        <v>5</v>
      </c>
      <c r="H22" s="6"/>
      <c r="I22" s="6"/>
      <c r="J22" s="4" t="s">
        <v>70</v>
      </c>
      <c r="K22" s="5">
        <v>45657</v>
      </c>
      <c r="L22" s="6" t="s">
        <v>26</v>
      </c>
      <c r="M22" s="6" t="s">
        <v>16</v>
      </c>
      <c r="N22" s="6" t="s">
        <v>10</v>
      </c>
      <c r="O22" s="6">
        <v>0</v>
      </c>
      <c r="P22" s="6">
        <v>5</v>
      </c>
      <c r="U22" s="34"/>
    </row>
    <row r="23" spans="1:25" x14ac:dyDescent="0.2">
      <c r="A23" s="4" t="s">
        <v>70</v>
      </c>
      <c r="B23" s="5">
        <v>45657</v>
      </c>
      <c r="C23" s="6" t="s">
        <v>26</v>
      </c>
      <c r="D23" s="6" t="s">
        <v>16</v>
      </c>
      <c r="E23" s="6" t="s">
        <v>22</v>
      </c>
      <c r="F23" s="6">
        <v>0</v>
      </c>
      <c r="G23" s="6">
        <v>5</v>
      </c>
      <c r="H23" s="6"/>
      <c r="I23" s="6"/>
      <c r="J23" s="4" t="s">
        <v>70</v>
      </c>
      <c r="K23" s="5">
        <v>45657</v>
      </c>
      <c r="L23" s="6" t="s">
        <v>26</v>
      </c>
      <c r="M23" s="6" t="s">
        <v>16</v>
      </c>
      <c r="N23" s="6" t="s">
        <v>22</v>
      </c>
      <c r="O23" s="6">
        <v>0</v>
      </c>
      <c r="P23" s="6">
        <v>5</v>
      </c>
      <c r="U23" s="1"/>
    </row>
    <row r="24" spans="1:25" x14ac:dyDescent="0.2">
      <c r="A24" s="4" t="s">
        <v>70</v>
      </c>
      <c r="B24" s="5">
        <v>45657</v>
      </c>
      <c r="C24" s="6" t="s">
        <v>26</v>
      </c>
      <c r="D24" s="6" t="s">
        <v>16</v>
      </c>
      <c r="E24" s="6" t="s">
        <v>23</v>
      </c>
      <c r="F24" s="6">
        <v>0</v>
      </c>
      <c r="G24" s="6">
        <v>5</v>
      </c>
      <c r="H24" s="6"/>
      <c r="I24" s="6"/>
      <c r="J24" s="4" t="s">
        <v>70</v>
      </c>
      <c r="K24" s="5">
        <v>45657</v>
      </c>
      <c r="L24" s="6" t="s">
        <v>26</v>
      </c>
      <c r="M24" s="6" t="s">
        <v>16</v>
      </c>
      <c r="N24" s="6" t="s">
        <v>23</v>
      </c>
      <c r="O24" s="6">
        <v>0</v>
      </c>
      <c r="P24" s="6">
        <v>5</v>
      </c>
      <c r="U24" s="34"/>
    </row>
    <row r="25" spans="1:25" x14ac:dyDescent="0.2">
      <c r="A25" s="8" t="s">
        <v>49</v>
      </c>
      <c r="B25" s="22"/>
      <c r="C25" s="22"/>
      <c r="D25" s="22"/>
      <c r="E25" s="22"/>
      <c r="F25" s="22">
        <f>SUM(F7:F24)</f>
        <v>20</v>
      </c>
      <c r="G25" s="22">
        <f>SUM(G7:G24)</f>
        <v>90</v>
      </c>
      <c r="J25" s="8" t="s">
        <v>49</v>
      </c>
      <c r="K25" s="22"/>
      <c r="L25" s="22"/>
      <c r="M25" s="22"/>
      <c r="N25" s="22"/>
      <c r="O25" s="22">
        <f>SUM(O7:O24)</f>
        <v>25</v>
      </c>
      <c r="P25" s="22">
        <f>SUM(P7:P24)</f>
        <v>90</v>
      </c>
      <c r="U25" s="1"/>
    </row>
    <row r="26" spans="1:25" x14ac:dyDescent="0.2">
      <c r="A26" s="23" t="s">
        <v>75</v>
      </c>
      <c r="B26" s="22"/>
      <c r="C26" s="22"/>
      <c r="D26" s="22"/>
      <c r="E26" s="22"/>
      <c r="F26" s="22"/>
      <c r="G26" s="24">
        <f>F25/G25</f>
        <v>0.22222222222222221</v>
      </c>
      <c r="J26" s="23" t="s">
        <v>75</v>
      </c>
      <c r="K26" s="22"/>
      <c r="L26" s="22"/>
      <c r="M26" s="22"/>
      <c r="N26" s="22"/>
      <c r="O26" s="22"/>
      <c r="P26" s="24">
        <f>O25/P25</f>
        <v>0.27777777777777779</v>
      </c>
      <c r="U26" s="34"/>
    </row>
    <row r="27" spans="1:25" x14ac:dyDescent="0.2">
      <c r="A27" s="28" t="s">
        <v>74</v>
      </c>
      <c r="B27" s="29"/>
      <c r="C27" s="30"/>
      <c r="D27" s="30"/>
      <c r="E27" s="30"/>
      <c r="F27" s="30"/>
      <c r="G27" s="31">
        <f>(SUM(F7:F14)/SUM(G7:G14))*0.7+(SUM(F17:F24)/SUM(G17:G24))*0.2+(SUM(F15:F16)/SUM(G15:G16))*0.1</f>
        <v>0.33500000000000002</v>
      </c>
      <c r="J27" s="28" t="s">
        <v>74</v>
      </c>
      <c r="K27" s="29"/>
      <c r="L27" s="30"/>
      <c r="M27" s="30"/>
      <c r="N27" s="30"/>
      <c r="O27" s="30"/>
      <c r="P27" s="31">
        <f>(SUM(O7:O14)/SUM(P7:P14))*0.7+(SUM(O17:O24)/SUM(P17:P24))*0.2+(SUM(O15:O16)/SUM(P15:P16))*0.1</f>
        <v>0.4375</v>
      </c>
      <c r="U27" s="1"/>
    </row>
    <row r="28" spans="1:25" x14ac:dyDescent="0.2">
      <c r="A28" s="2"/>
      <c r="G28" s="27"/>
      <c r="J28" s="2"/>
      <c r="P28" s="27"/>
      <c r="U28" s="34"/>
    </row>
    <row r="29" spans="1:25" ht="22" x14ac:dyDescent="0.3">
      <c r="A29" s="3" t="s">
        <v>72</v>
      </c>
      <c r="U29" s="1"/>
    </row>
    <row r="30" spans="1:25" x14ac:dyDescent="0.2">
      <c r="A30" s="36" t="s">
        <v>27</v>
      </c>
      <c r="B30" s="36" t="s">
        <v>28</v>
      </c>
      <c r="C30" s="66" t="s">
        <v>29</v>
      </c>
      <c r="D30" s="66"/>
      <c r="E30" s="66"/>
      <c r="F30" s="66"/>
      <c r="G30" s="10" t="s">
        <v>30</v>
      </c>
      <c r="H30" s="10"/>
      <c r="I30" s="10"/>
    </row>
    <row r="31" spans="1:25" ht="34" customHeight="1" x14ac:dyDescent="0.2">
      <c r="A31" s="10"/>
      <c r="B31" s="10"/>
      <c r="C31" s="11" t="s">
        <v>85</v>
      </c>
      <c r="D31" s="12" t="s">
        <v>86</v>
      </c>
      <c r="E31" s="11" t="s">
        <v>31</v>
      </c>
      <c r="F31" s="12" t="s">
        <v>32</v>
      </c>
      <c r="G31" s="10" t="s">
        <v>35</v>
      </c>
      <c r="H31" s="38"/>
      <c r="I31" s="10"/>
      <c r="J31" s="9" t="s">
        <v>27</v>
      </c>
      <c r="K31" s="9" t="s">
        <v>28</v>
      </c>
      <c r="L31" s="66" t="s">
        <v>29</v>
      </c>
      <c r="M31" s="66"/>
      <c r="N31" s="66"/>
      <c r="O31" s="66"/>
      <c r="P31" t="s">
        <v>68</v>
      </c>
      <c r="Q31" s="10"/>
      <c r="R31" s="10"/>
      <c r="S31" s="9" t="s">
        <v>27</v>
      </c>
      <c r="T31" s="9" t="s">
        <v>28</v>
      </c>
      <c r="U31" s="32" t="s">
        <v>29</v>
      </c>
      <c r="V31" s="35"/>
      <c r="W31" s="32"/>
      <c r="X31" s="32"/>
      <c r="Y31" t="s">
        <v>68</v>
      </c>
    </row>
    <row r="32" spans="1:25" ht="29" customHeight="1" x14ac:dyDescent="0.2">
      <c r="A32" s="10" t="s">
        <v>33</v>
      </c>
      <c r="B32" s="17" t="s">
        <v>87</v>
      </c>
      <c r="C32" s="37" t="s">
        <v>34</v>
      </c>
      <c r="D32" s="37">
        <v>3</v>
      </c>
      <c r="E32" s="37" t="s">
        <v>34</v>
      </c>
      <c r="F32" s="37">
        <v>3</v>
      </c>
      <c r="H32" s="10"/>
      <c r="I32" s="10"/>
      <c r="L32" s="11" t="s">
        <v>85</v>
      </c>
      <c r="M32" s="12" t="s">
        <v>86</v>
      </c>
      <c r="N32" s="11" t="s">
        <v>31</v>
      </c>
      <c r="O32" s="12" t="s">
        <v>32</v>
      </c>
      <c r="P32" s="10" t="s">
        <v>91</v>
      </c>
      <c r="Q32" s="38"/>
      <c r="R32" s="38"/>
      <c r="U32" s="11" t="s">
        <v>85</v>
      </c>
      <c r="V32" s="12" t="s">
        <v>86</v>
      </c>
      <c r="W32" s="11" t="s">
        <v>31</v>
      </c>
      <c r="X32" s="12" t="s">
        <v>32</v>
      </c>
      <c r="Y32" s="10" t="s">
        <v>91</v>
      </c>
    </row>
    <row r="33" spans="1:25" ht="38" customHeight="1" x14ac:dyDescent="0.2">
      <c r="A33" s="10" t="s">
        <v>36</v>
      </c>
      <c r="B33" s="16" t="s">
        <v>87</v>
      </c>
      <c r="C33" s="37" t="s">
        <v>34</v>
      </c>
      <c r="D33" s="37">
        <v>3</v>
      </c>
      <c r="E33" s="37" t="s">
        <v>34</v>
      </c>
      <c r="F33" s="37">
        <v>3</v>
      </c>
      <c r="G33" s="10" t="s">
        <v>37</v>
      </c>
      <c r="H33" s="10"/>
      <c r="I33" s="10"/>
      <c r="J33" s="10" t="s">
        <v>51</v>
      </c>
      <c r="K33" s="10" t="s">
        <v>92</v>
      </c>
      <c r="L33" s="37" t="s">
        <v>34</v>
      </c>
      <c r="M33" s="37">
        <v>1</v>
      </c>
      <c r="N33" s="37" t="s">
        <v>34</v>
      </c>
      <c r="O33" s="37">
        <v>1</v>
      </c>
      <c r="P33" s="10"/>
      <c r="Q33" s="10"/>
      <c r="R33" s="10"/>
      <c r="S33" s="10" t="s">
        <v>57</v>
      </c>
      <c r="T33" s="17" t="s">
        <v>111</v>
      </c>
      <c r="U33" s="37" t="s">
        <v>34</v>
      </c>
      <c r="V33" s="37">
        <v>2</v>
      </c>
      <c r="W33" s="37" t="s">
        <v>90</v>
      </c>
      <c r="X33" s="37">
        <v>1</v>
      </c>
      <c r="Y33" s="10"/>
    </row>
    <row r="34" spans="1:25" ht="28" x14ac:dyDescent="0.2">
      <c r="A34" s="10" t="s">
        <v>38</v>
      </c>
      <c r="B34" s="17" t="s">
        <v>65</v>
      </c>
      <c r="C34" s="37" t="s">
        <v>34</v>
      </c>
      <c r="D34" s="37">
        <v>1</v>
      </c>
      <c r="E34" s="37" t="s">
        <v>39</v>
      </c>
      <c r="F34" s="37">
        <v>1</v>
      </c>
      <c r="G34" s="10" t="s">
        <v>37</v>
      </c>
      <c r="H34" s="10"/>
      <c r="I34" s="10"/>
      <c r="J34" s="10" t="s">
        <v>52</v>
      </c>
      <c r="K34" s="10" t="s">
        <v>92</v>
      </c>
      <c r="L34" s="37" t="s">
        <v>34</v>
      </c>
      <c r="M34" s="37">
        <v>1</v>
      </c>
      <c r="N34" s="37" t="s">
        <v>34</v>
      </c>
      <c r="O34" s="37">
        <v>1</v>
      </c>
      <c r="P34" s="10"/>
      <c r="Q34" s="10"/>
      <c r="R34" s="10"/>
      <c r="S34" s="10" t="s">
        <v>58</v>
      </c>
      <c r="T34" s="17" t="s">
        <v>112</v>
      </c>
      <c r="U34" s="37" t="s">
        <v>56</v>
      </c>
      <c r="V34" s="37">
        <v>0.75</v>
      </c>
      <c r="W34" s="37" t="s">
        <v>56</v>
      </c>
      <c r="X34" s="37">
        <v>0.25</v>
      </c>
      <c r="Y34" s="10"/>
    </row>
    <row r="35" spans="1:25" ht="32" customHeight="1" x14ac:dyDescent="0.2">
      <c r="A35" s="10" t="s">
        <v>40</v>
      </c>
      <c r="B35" s="16" t="s">
        <v>66</v>
      </c>
      <c r="C35" s="37" t="s">
        <v>34</v>
      </c>
      <c r="D35" s="37">
        <v>1</v>
      </c>
      <c r="E35" s="10"/>
      <c r="F35" s="10"/>
      <c r="G35" s="10" t="s">
        <v>41</v>
      </c>
      <c r="H35" s="10"/>
      <c r="I35" s="10"/>
      <c r="J35" s="10" t="s">
        <v>53</v>
      </c>
      <c r="K35" s="10" t="s">
        <v>92</v>
      </c>
      <c r="L35" s="37" t="s">
        <v>34</v>
      </c>
      <c r="M35" s="37">
        <v>1</v>
      </c>
      <c r="N35" s="37" t="s">
        <v>34</v>
      </c>
      <c r="O35" s="37">
        <v>1</v>
      </c>
      <c r="P35" s="10"/>
      <c r="Q35" s="10"/>
      <c r="R35" s="10"/>
      <c r="S35" s="10" t="s">
        <v>59</v>
      </c>
      <c r="T35" s="17" t="s">
        <v>111</v>
      </c>
      <c r="U35" s="37" t="s">
        <v>34</v>
      </c>
      <c r="V35" s="37">
        <v>3</v>
      </c>
      <c r="W35" s="10"/>
      <c r="X35" s="10"/>
      <c r="Y35" s="10"/>
    </row>
    <row r="36" spans="1:25" ht="32" customHeight="1" x14ac:dyDescent="0.2">
      <c r="A36" s="10" t="s">
        <v>42</v>
      </c>
      <c r="B36" s="17" t="s">
        <v>88</v>
      </c>
      <c r="C36" s="37" t="s">
        <v>34</v>
      </c>
      <c r="D36" s="37">
        <v>0.5</v>
      </c>
      <c r="E36" s="10"/>
      <c r="F36" s="10"/>
      <c r="G36" s="10" t="s">
        <v>43</v>
      </c>
      <c r="H36" s="10"/>
      <c r="I36" s="10"/>
      <c r="J36" s="10" t="s">
        <v>54</v>
      </c>
      <c r="K36" s="10" t="s">
        <v>92</v>
      </c>
      <c r="L36" s="37" t="s">
        <v>34</v>
      </c>
      <c r="M36" s="37">
        <v>1</v>
      </c>
      <c r="N36" s="37" t="s">
        <v>34</v>
      </c>
      <c r="O36" s="37">
        <v>1</v>
      </c>
      <c r="P36" s="10"/>
      <c r="Q36" s="10"/>
      <c r="R36" s="10"/>
      <c r="S36" s="10" t="s">
        <v>60</v>
      </c>
      <c r="T36" s="17" t="s">
        <v>112</v>
      </c>
      <c r="U36" s="37" t="s">
        <v>34</v>
      </c>
      <c r="V36" s="37">
        <v>1</v>
      </c>
      <c r="W36" s="10"/>
      <c r="X36" s="10"/>
      <c r="Y36" s="10"/>
    </row>
    <row r="37" spans="1:25" ht="27" customHeight="1" x14ac:dyDescent="0.2">
      <c r="A37" s="10" t="s">
        <v>44</v>
      </c>
      <c r="B37" s="16" t="s">
        <v>88</v>
      </c>
      <c r="C37" s="37" t="s">
        <v>34</v>
      </c>
      <c r="D37" s="37">
        <v>0.5</v>
      </c>
      <c r="E37" s="10" t="s">
        <v>45</v>
      </c>
      <c r="F37" s="10"/>
      <c r="G37" s="10" t="s">
        <v>43</v>
      </c>
      <c r="H37" s="10"/>
      <c r="I37" s="10"/>
      <c r="J37" s="10" t="s">
        <v>55</v>
      </c>
      <c r="K37" s="10" t="s">
        <v>92</v>
      </c>
      <c r="L37" s="37" t="s">
        <v>34</v>
      </c>
      <c r="M37" s="37">
        <v>1</v>
      </c>
      <c r="N37" s="37" t="s">
        <v>34</v>
      </c>
      <c r="O37" s="37">
        <v>1</v>
      </c>
      <c r="P37" s="10"/>
      <c r="Q37" s="10"/>
      <c r="R37" s="10"/>
      <c r="S37" s="10" t="s">
        <v>49</v>
      </c>
      <c r="T37" s="17" t="s">
        <v>113</v>
      </c>
      <c r="U37" s="13"/>
      <c r="V37" s="13"/>
      <c r="W37" s="13"/>
      <c r="X37" s="13"/>
      <c r="Y37" s="13"/>
    </row>
    <row r="38" spans="1:25" x14ac:dyDescent="0.2">
      <c r="A38" s="65" t="s">
        <v>46</v>
      </c>
      <c r="B38" s="67" t="s">
        <v>65</v>
      </c>
      <c r="C38" s="37" t="s">
        <v>34</v>
      </c>
      <c r="D38" s="37">
        <v>0.5</v>
      </c>
      <c r="E38" s="68" t="s">
        <v>34</v>
      </c>
      <c r="F38" s="68">
        <v>1</v>
      </c>
      <c r="G38" s="65" t="s">
        <v>47</v>
      </c>
      <c r="H38" s="65"/>
      <c r="I38" s="10"/>
      <c r="J38" s="25" t="s">
        <v>49</v>
      </c>
      <c r="K38" s="25" t="s">
        <v>94</v>
      </c>
      <c r="L38" s="13"/>
      <c r="M38" s="13"/>
      <c r="N38" s="13"/>
      <c r="O38" s="13"/>
      <c r="P38" s="13"/>
      <c r="Q38" s="13"/>
      <c r="R38" s="13"/>
      <c r="S38" s="25" t="s">
        <v>49</v>
      </c>
      <c r="T38" s="24">
        <f>5.5/11</f>
        <v>0.5</v>
      </c>
      <c r="U38" s="50" t="s">
        <v>114</v>
      </c>
    </row>
    <row r="39" spans="1:25" ht="16" customHeight="1" x14ac:dyDescent="0.2">
      <c r="A39" s="65"/>
      <c r="B39" s="65"/>
      <c r="C39" s="37" t="s">
        <v>48</v>
      </c>
      <c r="D39" s="37">
        <v>0.5</v>
      </c>
      <c r="E39" s="68"/>
      <c r="F39" s="68"/>
      <c r="G39" s="65"/>
      <c r="H39" s="65"/>
      <c r="I39" s="10"/>
      <c r="J39" s="25"/>
      <c r="K39" s="24">
        <f>0/10</f>
        <v>0</v>
      </c>
    </row>
    <row r="40" spans="1:25" x14ac:dyDescent="0.2">
      <c r="A40" s="10" t="s">
        <v>49</v>
      </c>
      <c r="B40" s="17" t="s">
        <v>109</v>
      </c>
      <c r="C40" s="13"/>
      <c r="D40" s="13"/>
      <c r="E40" s="13"/>
      <c r="F40" s="13"/>
      <c r="G40" s="13"/>
      <c r="H40" s="13"/>
      <c r="I40" s="13"/>
    </row>
    <row r="41" spans="1:25" x14ac:dyDescent="0.2">
      <c r="A41" s="25" t="s">
        <v>49</v>
      </c>
      <c r="B41" s="26">
        <f>18/18</f>
        <v>1</v>
      </c>
      <c r="C41" s="13"/>
      <c r="D41" s="13"/>
      <c r="E41" s="13"/>
      <c r="F41" s="13"/>
      <c r="G41" s="13"/>
      <c r="H41" s="13"/>
      <c r="I41" s="13"/>
    </row>
    <row r="43" spans="1:25" x14ac:dyDescent="0.2">
      <c r="A43" s="8" t="s">
        <v>0</v>
      </c>
      <c r="B43" s="8" t="s">
        <v>1</v>
      </c>
      <c r="C43" s="8" t="s">
        <v>2</v>
      </c>
      <c r="D43" s="8" t="s">
        <v>3</v>
      </c>
      <c r="E43" s="8" t="s">
        <v>4</v>
      </c>
      <c r="F43" s="8" t="s">
        <v>5</v>
      </c>
      <c r="G43" s="8" t="s">
        <v>6</v>
      </c>
    </row>
    <row r="44" spans="1:25" x14ac:dyDescent="0.2">
      <c r="A44" s="4" t="s">
        <v>25</v>
      </c>
      <c r="B44" s="5">
        <v>45657</v>
      </c>
      <c r="C44" s="6" t="s">
        <v>26</v>
      </c>
      <c r="D44" s="6" t="s">
        <v>7</v>
      </c>
      <c r="E44" s="6" t="s">
        <v>8</v>
      </c>
      <c r="F44" s="6">
        <v>5</v>
      </c>
      <c r="G44" s="6">
        <v>5</v>
      </c>
      <c r="H44" s="18">
        <f>B41</f>
        <v>1</v>
      </c>
    </row>
    <row r="45" spans="1:25" x14ac:dyDescent="0.2">
      <c r="A45" s="4" t="s">
        <v>25</v>
      </c>
      <c r="B45" s="5">
        <v>45657</v>
      </c>
      <c r="C45" s="6" t="s">
        <v>26</v>
      </c>
      <c r="D45" s="6" t="s">
        <v>7</v>
      </c>
      <c r="E45" s="6" t="s">
        <v>9</v>
      </c>
      <c r="F45" s="6">
        <v>3</v>
      </c>
      <c r="G45" s="6">
        <v>5</v>
      </c>
    </row>
    <row r="46" spans="1:25" x14ac:dyDescent="0.2">
      <c r="A46" s="4" t="s">
        <v>25</v>
      </c>
      <c r="B46" s="5">
        <v>45657</v>
      </c>
      <c r="C46" s="6" t="s">
        <v>26</v>
      </c>
      <c r="D46" s="6" t="s">
        <v>7</v>
      </c>
      <c r="E46" s="6" t="s">
        <v>10</v>
      </c>
      <c r="F46" s="6">
        <v>4</v>
      </c>
      <c r="G46" s="6">
        <v>5</v>
      </c>
    </row>
    <row r="47" spans="1:25" x14ac:dyDescent="0.2">
      <c r="A47" s="4" t="s">
        <v>25</v>
      </c>
      <c r="B47" s="5">
        <v>45657</v>
      </c>
      <c r="C47" s="6" t="s">
        <v>26</v>
      </c>
      <c r="D47" s="6" t="s">
        <v>7</v>
      </c>
      <c r="E47" s="6" t="s">
        <v>12</v>
      </c>
      <c r="F47" s="6">
        <v>2</v>
      </c>
      <c r="G47" s="6">
        <v>5</v>
      </c>
      <c r="H47" s="19" t="s">
        <v>110</v>
      </c>
    </row>
    <row r="48" spans="1:25" x14ac:dyDescent="0.2">
      <c r="A48" s="4" t="s">
        <v>25</v>
      </c>
      <c r="B48" s="5">
        <v>45657</v>
      </c>
      <c r="C48" s="6" t="s">
        <v>26</v>
      </c>
      <c r="D48" s="6" t="s">
        <v>7</v>
      </c>
      <c r="E48" s="6" t="s">
        <v>14</v>
      </c>
      <c r="F48" s="6">
        <v>1</v>
      </c>
      <c r="G48" s="6">
        <v>3</v>
      </c>
    </row>
    <row r="49" spans="1:8" x14ac:dyDescent="0.2">
      <c r="A49" s="4" t="s">
        <v>25</v>
      </c>
      <c r="B49" s="5">
        <v>45658</v>
      </c>
      <c r="C49" s="6" t="s">
        <v>26</v>
      </c>
      <c r="D49" s="6" t="s">
        <v>50</v>
      </c>
      <c r="E49" s="6" t="s">
        <v>8</v>
      </c>
      <c r="F49" s="6">
        <v>0</v>
      </c>
      <c r="G49" s="6">
        <v>5</v>
      </c>
      <c r="H49" s="18">
        <f>K39</f>
        <v>0</v>
      </c>
    </row>
    <row r="50" spans="1:8" x14ac:dyDescent="0.2">
      <c r="A50" s="4" t="s">
        <v>25</v>
      </c>
      <c r="B50" s="5">
        <v>45659</v>
      </c>
      <c r="C50" s="6" t="s">
        <v>26</v>
      </c>
      <c r="D50" s="6" t="s">
        <v>50</v>
      </c>
      <c r="E50" s="6" t="s">
        <v>10</v>
      </c>
      <c r="F50" s="6">
        <v>0</v>
      </c>
      <c r="G50" s="6">
        <v>5</v>
      </c>
    </row>
    <row r="51" spans="1:8" x14ac:dyDescent="0.2">
      <c r="A51" s="4" t="s">
        <v>25</v>
      </c>
      <c r="B51" s="5">
        <v>45660</v>
      </c>
      <c r="C51" s="6" t="s">
        <v>26</v>
      </c>
      <c r="D51" s="6" t="s">
        <v>50</v>
      </c>
      <c r="E51" s="6" t="s">
        <v>14</v>
      </c>
      <c r="F51" s="6">
        <v>0</v>
      </c>
      <c r="G51" s="6">
        <v>3</v>
      </c>
    </row>
    <row r="52" spans="1:8" x14ac:dyDescent="0.2">
      <c r="A52" s="4" t="s">
        <v>25</v>
      </c>
      <c r="B52" s="5">
        <v>45657</v>
      </c>
      <c r="C52" s="6" t="s">
        <v>26</v>
      </c>
      <c r="D52" s="6" t="s">
        <v>16</v>
      </c>
      <c r="E52" s="6" t="s">
        <v>8</v>
      </c>
      <c r="F52" s="6">
        <v>3</v>
      </c>
      <c r="G52" s="6">
        <v>5</v>
      </c>
      <c r="H52" s="44">
        <f>T38</f>
        <v>0.5</v>
      </c>
    </row>
    <row r="53" spans="1:8" x14ac:dyDescent="0.2">
      <c r="A53" s="4" t="s">
        <v>25</v>
      </c>
      <c r="B53" s="5">
        <v>45657</v>
      </c>
      <c r="C53" s="6" t="s">
        <v>26</v>
      </c>
      <c r="D53" s="6" t="s">
        <v>16</v>
      </c>
      <c r="E53" s="6" t="s">
        <v>10</v>
      </c>
      <c r="F53" s="6">
        <v>0</v>
      </c>
      <c r="G53" s="6">
        <v>5</v>
      </c>
      <c r="H53" s="6"/>
    </row>
    <row r="54" spans="1:8" x14ac:dyDescent="0.2">
      <c r="A54" s="4" t="s">
        <v>25</v>
      </c>
      <c r="B54" s="5">
        <v>45657</v>
      </c>
      <c r="C54" s="6" t="s">
        <v>26</v>
      </c>
      <c r="D54" s="6" t="s">
        <v>16</v>
      </c>
      <c r="E54" s="6" t="s">
        <v>14</v>
      </c>
      <c r="F54" s="6">
        <v>0</v>
      </c>
      <c r="G54" s="6">
        <v>3</v>
      </c>
      <c r="H54" s="6"/>
    </row>
    <row r="55" spans="1:8" x14ac:dyDescent="0.2">
      <c r="A55" s="8" t="s">
        <v>62</v>
      </c>
      <c r="B55" s="14"/>
      <c r="C55" s="15"/>
      <c r="D55" s="15"/>
      <c r="E55" s="15"/>
      <c r="F55" s="15">
        <f>SUM(F44:F54)</f>
        <v>18</v>
      </c>
      <c r="G55" s="15">
        <f>SUM(G44:G54)</f>
        <v>49</v>
      </c>
    </row>
    <row r="56" spans="1:8" x14ac:dyDescent="0.2">
      <c r="A56" s="8" t="s">
        <v>73</v>
      </c>
      <c r="B56" s="14"/>
      <c r="C56" s="15"/>
      <c r="D56" s="15"/>
      <c r="E56" s="15"/>
      <c r="F56" s="15"/>
      <c r="G56" s="21">
        <f>F55/G55</f>
        <v>0.36734693877551022</v>
      </c>
    </row>
    <row r="57" spans="1:8" x14ac:dyDescent="0.2">
      <c r="A57" s="8" t="s">
        <v>74</v>
      </c>
      <c r="B57" s="14"/>
      <c r="C57" s="15"/>
      <c r="D57" s="15"/>
      <c r="E57" s="15"/>
      <c r="F57" s="15"/>
      <c r="G57" s="21">
        <f>(SUM(F44:F48)/SUM(G44:G48))*0.7+(SUM(F52:F54)/SUM(G52:G54))*0.2+(SUM(F49:F51)/SUM(G49:G51))*0.1</f>
        <v>0.50267558528428091</v>
      </c>
      <c r="H57" s="6" t="s">
        <v>76</v>
      </c>
    </row>
    <row r="58" spans="1:8" ht="17" thickBot="1" x14ac:dyDescent="0.25">
      <c r="A58" s="4"/>
      <c r="B58" s="5"/>
      <c r="C58" s="6"/>
      <c r="D58" s="6"/>
      <c r="E58" s="6"/>
      <c r="F58" s="6"/>
      <c r="G58" s="33"/>
    </row>
    <row r="59" spans="1:8" x14ac:dyDescent="0.2">
      <c r="A59" s="54" t="s">
        <v>132</v>
      </c>
      <c r="B59" s="55"/>
      <c r="C59" s="56"/>
      <c r="D59" s="56"/>
      <c r="E59" s="56"/>
      <c r="F59" s="56"/>
      <c r="G59" s="57">
        <f>SUM(F44:F48)/SUM(G44:G48)</f>
        <v>0.65217391304347827</v>
      </c>
    </row>
    <row r="60" spans="1:8" x14ac:dyDescent="0.2">
      <c r="A60" s="58" t="s">
        <v>133</v>
      </c>
      <c r="B60" s="5"/>
      <c r="C60" s="6"/>
      <c r="D60" s="6"/>
      <c r="E60" s="6"/>
      <c r="F60" s="6"/>
      <c r="G60" s="62">
        <f>SUM(F49:F51)/SUM(G49:G51)</f>
        <v>0</v>
      </c>
    </row>
    <row r="61" spans="1:8" ht="17" thickBot="1" x14ac:dyDescent="0.25">
      <c r="A61" s="61" t="s">
        <v>134</v>
      </c>
      <c r="B61" s="59"/>
      <c r="C61" s="59"/>
      <c r="D61" s="59"/>
      <c r="E61" s="59"/>
      <c r="F61" s="59"/>
      <c r="G61" s="63">
        <f>SUM(F52:F54)/SUM(G52:G54)</f>
        <v>0.23076923076923078</v>
      </c>
    </row>
  </sheetData>
  <mergeCells count="8">
    <mergeCell ref="C30:F30"/>
    <mergeCell ref="L31:O31"/>
    <mergeCell ref="A38:A39"/>
    <mergeCell ref="B38:B39"/>
    <mergeCell ref="E38:E39"/>
    <mergeCell ref="F38:F39"/>
    <mergeCell ref="G38:G39"/>
    <mergeCell ref="H38:H39"/>
  </mergeCells>
  <conditionalFormatting sqref="F7:F24 O7:O24">
    <cfRule type="expression" dxfId="1" priority="1">
      <formula>$F7&lt;&gt;$O7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34B6-F76B-894C-9E05-34ABB8CE1286}">
  <dimension ref="A1:X61"/>
  <sheetViews>
    <sheetView topLeftCell="A14" workbookViewId="0">
      <selection activeCell="G54" sqref="G54"/>
    </sheetView>
  </sheetViews>
  <sheetFormatPr baseColWidth="10" defaultRowHeight="16" x14ac:dyDescent="0.2"/>
  <cols>
    <col min="1" max="1" width="27.1640625" customWidth="1"/>
    <col min="2" max="2" width="11.6640625" bestFit="1" customWidth="1"/>
    <col min="5" max="5" width="23.83203125" customWidth="1"/>
    <col min="7" max="7" width="21.1640625" customWidth="1"/>
    <col min="9" max="9" width="27.6640625" customWidth="1"/>
    <col min="10" max="10" width="15.33203125" customWidth="1"/>
    <col min="14" max="14" width="22.5" customWidth="1"/>
    <col min="16" max="16" width="14.5" customWidth="1"/>
    <col min="18" max="18" width="14.83203125" customWidth="1"/>
    <col min="20" max="20" width="17.5" customWidth="1"/>
    <col min="22" max="22" width="15.5" customWidth="1"/>
    <col min="24" max="24" width="19" customWidth="1"/>
    <col min="30" max="30" width="18.6640625" customWidth="1"/>
  </cols>
  <sheetData>
    <row r="1" spans="1:20" ht="23" x14ac:dyDescent="0.25">
      <c r="A1" s="7" t="s">
        <v>78</v>
      </c>
      <c r="T1" s="1"/>
    </row>
    <row r="2" spans="1:20" ht="23" x14ac:dyDescent="0.25">
      <c r="A2" s="7"/>
      <c r="T2" s="34"/>
    </row>
    <row r="3" spans="1:20" ht="23" x14ac:dyDescent="0.25">
      <c r="A3" s="7"/>
      <c r="T3" s="1"/>
    </row>
    <row r="4" spans="1:20" ht="22" x14ac:dyDescent="0.3">
      <c r="A4" s="3" t="s">
        <v>71</v>
      </c>
      <c r="T4" s="34"/>
    </row>
    <row r="5" spans="1:20" x14ac:dyDescent="0.2">
      <c r="A5" s="2" t="s">
        <v>135</v>
      </c>
      <c r="J5" s="2" t="s">
        <v>63</v>
      </c>
      <c r="Q5" s="2" t="s">
        <v>121</v>
      </c>
      <c r="T5" s="1"/>
    </row>
    <row r="6" spans="1:20" x14ac:dyDescent="0.2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4"/>
      <c r="I6" s="4"/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T6" s="34"/>
    </row>
    <row r="7" spans="1:20" x14ac:dyDescent="0.2">
      <c r="A7" s="4" t="s">
        <v>78</v>
      </c>
      <c r="B7" s="5">
        <v>45657</v>
      </c>
      <c r="C7" s="6" t="s">
        <v>26</v>
      </c>
      <c r="D7" s="6" t="s">
        <v>7</v>
      </c>
      <c r="E7" s="6" t="s">
        <v>8</v>
      </c>
      <c r="F7" s="6">
        <v>1</v>
      </c>
      <c r="G7" s="6">
        <v>5</v>
      </c>
      <c r="H7" s="6"/>
      <c r="I7" s="6"/>
      <c r="J7" s="4" t="s">
        <v>78</v>
      </c>
      <c r="K7" s="5">
        <v>45657</v>
      </c>
      <c r="L7" s="6" t="s">
        <v>26</v>
      </c>
      <c r="M7" s="6" t="s">
        <v>7</v>
      </c>
      <c r="N7" s="6" t="s">
        <v>8</v>
      </c>
      <c r="O7" s="6">
        <v>1</v>
      </c>
      <c r="P7" s="6">
        <v>5</v>
      </c>
      <c r="Q7" s="64" t="s">
        <v>103</v>
      </c>
      <c r="T7" s="1"/>
    </row>
    <row r="8" spans="1:20" x14ac:dyDescent="0.2">
      <c r="A8" s="4" t="s">
        <v>78</v>
      </c>
      <c r="B8" s="5">
        <v>45657</v>
      </c>
      <c r="C8" s="6" t="s">
        <v>26</v>
      </c>
      <c r="D8" s="6" t="s">
        <v>7</v>
      </c>
      <c r="E8" s="6" t="s">
        <v>9</v>
      </c>
      <c r="F8" s="6">
        <v>0</v>
      </c>
      <c r="G8" s="6">
        <v>5</v>
      </c>
      <c r="H8" s="6"/>
      <c r="I8" s="6"/>
      <c r="J8" s="4" t="s">
        <v>78</v>
      </c>
      <c r="K8" s="5">
        <v>45657</v>
      </c>
      <c r="L8" s="6" t="s">
        <v>26</v>
      </c>
      <c r="M8" s="6" t="s">
        <v>7</v>
      </c>
      <c r="N8" s="6" t="s">
        <v>9</v>
      </c>
      <c r="O8" s="6">
        <v>3</v>
      </c>
      <c r="P8" s="6">
        <v>5</v>
      </c>
      <c r="Q8" s="51" t="s">
        <v>102</v>
      </c>
      <c r="S8" t="s">
        <v>104</v>
      </c>
      <c r="T8" s="34"/>
    </row>
    <row r="9" spans="1:20" x14ac:dyDescent="0.2">
      <c r="A9" s="4" t="s">
        <v>78</v>
      </c>
      <c r="B9" s="5">
        <v>45657</v>
      </c>
      <c r="C9" s="6" t="s">
        <v>26</v>
      </c>
      <c r="D9" s="6" t="s">
        <v>7</v>
      </c>
      <c r="E9" s="6" t="s">
        <v>10</v>
      </c>
      <c r="F9" s="6">
        <v>2</v>
      </c>
      <c r="G9" s="6">
        <v>5</v>
      </c>
      <c r="H9" s="6"/>
      <c r="I9" s="6"/>
      <c r="J9" s="4" t="s">
        <v>78</v>
      </c>
      <c r="K9" s="5">
        <v>45657</v>
      </c>
      <c r="L9" s="6" t="s">
        <v>26</v>
      </c>
      <c r="M9" s="6" t="s">
        <v>7</v>
      </c>
      <c r="N9" s="6" t="s">
        <v>10</v>
      </c>
      <c r="O9" s="6">
        <v>3</v>
      </c>
      <c r="P9" s="6">
        <v>5</v>
      </c>
      <c r="Q9" s="51" t="s">
        <v>101</v>
      </c>
      <c r="T9" s="1"/>
    </row>
    <row r="10" spans="1:20" x14ac:dyDescent="0.2">
      <c r="A10" s="4" t="s">
        <v>78</v>
      </c>
      <c r="B10" s="5">
        <v>45657</v>
      </c>
      <c r="C10" s="6" t="s">
        <v>26</v>
      </c>
      <c r="D10" s="6" t="s">
        <v>7</v>
      </c>
      <c r="E10" s="6" t="s">
        <v>11</v>
      </c>
      <c r="F10" s="6">
        <v>1</v>
      </c>
      <c r="G10" s="6">
        <v>5</v>
      </c>
      <c r="H10" s="6"/>
      <c r="I10" s="6"/>
      <c r="J10" s="4" t="s">
        <v>78</v>
      </c>
      <c r="K10" s="5">
        <v>45657</v>
      </c>
      <c r="L10" s="6" t="s">
        <v>26</v>
      </c>
      <c r="M10" s="6" t="s">
        <v>7</v>
      </c>
      <c r="N10" s="6" t="s">
        <v>11</v>
      </c>
      <c r="O10" s="6">
        <v>4</v>
      </c>
      <c r="P10" s="6">
        <v>5</v>
      </c>
      <c r="Q10" s="51" t="s">
        <v>100</v>
      </c>
      <c r="T10" s="34"/>
    </row>
    <row r="11" spans="1:20" x14ac:dyDescent="0.2">
      <c r="A11" s="4" t="s">
        <v>78</v>
      </c>
      <c r="B11" s="5">
        <v>45657</v>
      </c>
      <c r="C11" s="6" t="s">
        <v>26</v>
      </c>
      <c r="D11" s="6" t="s">
        <v>7</v>
      </c>
      <c r="E11" s="6" t="s">
        <v>12</v>
      </c>
      <c r="F11" s="6">
        <v>1</v>
      </c>
      <c r="G11" s="6">
        <v>5</v>
      </c>
      <c r="H11" s="6"/>
      <c r="I11" s="6"/>
      <c r="J11" s="4" t="s">
        <v>78</v>
      </c>
      <c r="K11" s="5">
        <v>45657</v>
      </c>
      <c r="L11" s="6" t="s">
        <v>26</v>
      </c>
      <c r="M11" s="6" t="s">
        <v>7</v>
      </c>
      <c r="N11" s="6" t="s">
        <v>12</v>
      </c>
      <c r="O11" s="6">
        <v>3</v>
      </c>
      <c r="P11" s="6">
        <v>5</v>
      </c>
      <c r="Q11" s="52">
        <v>0.71</v>
      </c>
      <c r="T11" s="1"/>
    </row>
    <row r="12" spans="1:20" x14ac:dyDescent="0.2">
      <c r="A12" s="4" t="s">
        <v>78</v>
      </c>
      <c r="B12" s="5">
        <v>45657</v>
      </c>
      <c r="C12" s="6" t="s">
        <v>26</v>
      </c>
      <c r="D12" s="6" t="s">
        <v>7</v>
      </c>
      <c r="E12" s="6" t="s">
        <v>13</v>
      </c>
      <c r="F12" s="6">
        <v>0</v>
      </c>
      <c r="G12" s="6">
        <v>5</v>
      </c>
      <c r="H12" s="6"/>
      <c r="I12" s="6"/>
      <c r="J12" s="4" t="s">
        <v>78</v>
      </c>
      <c r="K12" s="5">
        <v>45657</v>
      </c>
      <c r="L12" s="6" t="s">
        <v>26</v>
      </c>
      <c r="M12" s="6" t="s">
        <v>7</v>
      </c>
      <c r="N12" s="6" t="s">
        <v>13</v>
      </c>
      <c r="O12" s="6">
        <v>3</v>
      </c>
      <c r="P12" s="6">
        <v>5</v>
      </c>
      <c r="Q12" s="51" t="s">
        <v>99</v>
      </c>
      <c r="T12" s="34"/>
    </row>
    <row r="13" spans="1:20" x14ac:dyDescent="0.2">
      <c r="A13" s="4" t="s">
        <v>78</v>
      </c>
      <c r="B13" s="5">
        <v>45657</v>
      </c>
      <c r="C13" s="6" t="s">
        <v>26</v>
      </c>
      <c r="D13" s="6" t="s">
        <v>7</v>
      </c>
      <c r="E13" s="6" t="s">
        <v>14</v>
      </c>
      <c r="F13" s="6">
        <v>1</v>
      </c>
      <c r="G13" s="6">
        <v>5</v>
      </c>
      <c r="H13" s="6"/>
      <c r="I13" s="6"/>
      <c r="J13" s="4" t="s">
        <v>78</v>
      </c>
      <c r="K13" s="5">
        <v>45657</v>
      </c>
      <c r="L13" s="6" t="s">
        <v>26</v>
      </c>
      <c r="M13" s="6" t="s">
        <v>7</v>
      </c>
      <c r="N13" s="6" t="s">
        <v>14</v>
      </c>
      <c r="O13" s="6">
        <v>2</v>
      </c>
      <c r="P13" s="6">
        <v>5</v>
      </c>
      <c r="Q13" s="51" t="s">
        <v>98</v>
      </c>
      <c r="T13" s="1"/>
    </row>
    <row r="14" spans="1:20" x14ac:dyDescent="0.2">
      <c r="A14" s="4" t="s">
        <v>78</v>
      </c>
      <c r="B14" s="5">
        <v>45657</v>
      </c>
      <c r="C14" s="6" t="s">
        <v>26</v>
      </c>
      <c r="D14" s="6" t="s">
        <v>7</v>
      </c>
      <c r="E14" s="6" t="s">
        <v>15</v>
      </c>
      <c r="F14" s="6">
        <v>1</v>
      </c>
      <c r="G14" s="6">
        <v>5</v>
      </c>
      <c r="H14" s="6"/>
      <c r="I14" s="6"/>
      <c r="J14" s="4" t="s">
        <v>78</v>
      </c>
      <c r="K14" s="5">
        <v>45657</v>
      </c>
      <c r="L14" s="6" t="s">
        <v>26</v>
      </c>
      <c r="M14" s="6" t="s">
        <v>7</v>
      </c>
      <c r="N14" s="6" t="s">
        <v>15</v>
      </c>
      <c r="O14" s="6">
        <v>1</v>
      </c>
      <c r="P14" s="6">
        <v>5</v>
      </c>
      <c r="T14" s="34"/>
    </row>
    <row r="15" spans="1:20" x14ac:dyDescent="0.2">
      <c r="A15" s="4" t="s">
        <v>78</v>
      </c>
      <c r="B15" s="5">
        <v>45658</v>
      </c>
      <c r="C15" s="6" t="s">
        <v>26</v>
      </c>
      <c r="D15" s="6" t="s">
        <v>50</v>
      </c>
      <c r="E15" s="6" t="s">
        <v>83</v>
      </c>
      <c r="F15" s="6">
        <v>0</v>
      </c>
      <c r="G15" s="6">
        <v>5</v>
      </c>
      <c r="H15" s="6"/>
      <c r="I15" s="6"/>
      <c r="J15" s="4" t="s">
        <v>78</v>
      </c>
      <c r="K15" s="5">
        <v>45658</v>
      </c>
      <c r="L15" s="6" t="s">
        <v>26</v>
      </c>
      <c r="M15" s="6" t="s">
        <v>50</v>
      </c>
      <c r="N15" s="6" t="s">
        <v>83</v>
      </c>
      <c r="O15" s="6">
        <v>0</v>
      </c>
      <c r="P15" s="6">
        <v>5</v>
      </c>
      <c r="T15" s="1"/>
    </row>
    <row r="16" spans="1:20" x14ac:dyDescent="0.2">
      <c r="A16" s="4" t="s">
        <v>78</v>
      </c>
      <c r="B16" s="5">
        <v>45659</v>
      </c>
      <c r="C16" s="6" t="s">
        <v>26</v>
      </c>
      <c r="D16" s="6" t="s">
        <v>50</v>
      </c>
      <c r="E16" s="6" t="s">
        <v>84</v>
      </c>
      <c r="F16" s="6">
        <v>0</v>
      </c>
      <c r="G16" s="6">
        <v>5</v>
      </c>
      <c r="H16" s="6"/>
      <c r="I16" s="6"/>
      <c r="J16" s="4" t="s">
        <v>78</v>
      </c>
      <c r="K16" s="5">
        <v>45659</v>
      </c>
      <c r="L16" s="6" t="s">
        <v>26</v>
      </c>
      <c r="M16" s="6" t="s">
        <v>50</v>
      </c>
      <c r="N16" s="6" t="s">
        <v>84</v>
      </c>
      <c r="O16" s="6">
        <v>0</v>
      </c>
      <c r="P16" s="6">
        <v>5</v>
      </c>
      <c r="T16" s="34"/>
    </row>
    <row r="17" spans="1:24" x14ac:dyDescent="0.2">
      <c r="A17" s="4" t="s">
        <v>78</v>
      </c>
      <c r="B17" s="5">
        <v>45657</v>
      </c>
      <c r="C17" s="6" t="s">
        <v>26</v>
      </c>
      <c r="D17" s="6" t="s">
        <v>16</v>
      </c>
      <c r="E17" s="6" t="s">
        <v>17</v>
      </c>
      <c r="F17" s="6">
        <v>2</v>
      </c>
      <c r="G17" s="6">
        <v>5</v>
      </c>
      <c r="H17" s="6"/>
      <c r="I17" s="6"/>
      <c r="J17" s="4" t="s">
        <v>78</v>
      </c>
      <c r="K17" s="5">
        <v>45657</v>
      </c>
      <c r="L17" s="6" t="s">
        <v>26</v>
      </c>
      <c r="M17" s="6" t="s">
        <v>16</v>
      </c>
      <c r="N17" s="6" t="s">
        <v>17</v>
      </c>
      <c r="O17" s="6">
        <v>2</v>
      </c>
      <c r="P17" s="6">
        <v>5</v>
      </c>
      <c r="T17" s="1"/>
    </row>
    <row r="18" spans="1:24" x14ac:dyDescent="0.2">
      <c r="A18" s="4" t="s">
        <v>78</v>
      </c>
      <c r="B18" s="5">
        <v>45657</v>
      </c>
      <c r="C18" s="6" t="s">
        <v>26</v>
      </c>
      <c r="D18" s="6" t="s">
        <v>16</v>
      </c>
      <c r="E18" s="6" t="s">
        <v>18</v>
      </c>
      <c r="F18" s="6">
        <v>4</v>
      </c>
      <c r="G18" s="6">
        <v>5</v>
      </c>
      <c r="H18" s="6"/>
      <c r="I18" s="6"/>
      <c r="J18" s="4" t="s">
        <v>78</v>
      </c>
      <c r="K18" s="5">
        <v>45657</v>
      </c>
      <c r="L18" s="6" t="s">
        <v>26</v>
      </c>
      <c r="M18" s="6" t="s">
        <v>16</v>
      </c>
      <c r="N18" s="6" t="s">
        <v>18</v>
      </c>
      <c r="O18" s="6">
        <v>3</v>
      </c>
      <c r="P18" s="6">
        <v>5</v>
      </c>
      <c r="Q18" s="52">
        <v>0.11</v>
      </c>
      <c r="R18" t="s">
        <v>105</v>
      </c>
      <c r="T18" s="34"/>
    </row>
    <row r="19" spans="1:24" x14ac:dyDescent="0.2">
      <c r="A19" s="4" t="s">
        <v>78</v>
      </c>
      <c r="B19" s="5">
        <v>45657</v>
      </c>
      <c r="C19" s="6" t="s">
        <v>26</v>
      </c>
      <c r="D19" s="6" t="s">
        <v>16</v>
      </c>
      <c r="E19" s="6" t="s">
        <v>19</v>
      </c>
      <c r="F19" s="6">
        <v>0</v>
      </c>
      <c r="G19" s="6">
        <v>5</v>
      </c>
      <c r="H19" s="6"/>
      <c r="I19" s="6"/>
      <c r="J19" s="4" t="s">
        <v>78</v>
      </c>
      <c r="K19" s="5">
        <v>45657</v>
      </c>
      <c r="L19" s="6" t="s">
        <v>26</v>
      </c>
      <c r="M19" s="6" t="s">
        <v>16</v>
      </c>
      <c r="N19" s="6" t="s">
        <v>19</v>
      </c>
      <c r="O19" s="6">
        <v>3</v>
      </c>
      <c r="P19" s="6">
        <v>5</v>
      </c>
      <c r="Q19" s="52">
        <v>0.89</v>
      </c>
      <c r="R19" t="s">
        <v>105</v>
      </c>
      <c r="T19" s="1"/>
    </row>
    <row r="20" spans="1:24" x14ac:dyDescent="0.2">
      <c r="A20" s="4" t="s">
        <v>78</v>
      </c>
      <c r="B20" s="5">
        <v>45657</v>
      </c>
      <c r="C20" s="6" t="s">
        <v>26</v>
      </c>
      <c r="D20" s="6" t="s">
        <v>16</v>
      </c>
      <c r="E20" s="6" t="s">
        <v>20</v>
      </c>
      <c r="F20" s="6">
        <v>0</v>
      </c>
      <c r="G20" s="6">
        <v>5</v>
      </c>
      <c r="H20" s="6"/>
      <c r="I20" s="6"/>
      <c r="J20" s="4" t="s">
        <v>78</v>
      </c>
      <c r="K20" s="5">
        <v>45657</v>
      </c>
      <c r="L20" s="6" t="s">
        <v>26</v>
      </c>
      <c r="M20" s="6" t="s">
        <v>16</v>
      </c>
      <c r="N20" s="6" t="s">
        <v>20</v>
      </c>
      <c r="O20" s="6">
        <v>0</v>
      </c>
      <c r="P20" s="6">
        <v>5</v>
      </c>
      <c r="T20" s="34"/>
    </row>
    <row r="21" spans="1:24" x14ac:dyDescent="0.2">
      <c r="A21" s="4" t="s">
        <v>78</v>
      </c>
      <c r="B21" s="5">
        <v>45657</v>
      </c>
      <c r="C21" s="6" t="s">
        <v>26</v>
      </c>
      <c r="D21" s="6" t="s">
        <v>16</v>
      </c>
      <c r="E21" s="6" t="s">
        <v>21</v>
      </c>
      <c r="F21" s="6">
        <v>1</v>
      </c>
      <c r="G21" s="6">
        <v>5</v>
      </c>
      <c r="H21" s="6"/>
      <c r="I21" s="6"/>
      <c r="J21" s="4" t="s">
        <v>78</v>
      </c>
      <c r="K21" s="5">
        <v>45657</v>
      </c>
      <c r="L21" s="6" t="s">
        <v>26</v>
      </c>
      <c r="M21" s="6" t="s">
        <v>16</v>
      </c>
      <c r="N21" s="6" t="s">
        <v>21</v>
      </c>
      <c r="O21" s="6">
        <v>0</v>
      </c>
      <c r="P21" s="6">
        <v>5</v>
      </c>
      <c r="Q21" s="51" t="s">
        <v>130</v>
      </c>
      <c r="T21" s="1"/>
    </row>
    <row r="22" spans="1:24" x14ac:dyDescent="0.2">
      <c r="A22" s="4" t="s">
        <v>78</v>
      </c>
      <c r="B22" s="5">
        <v>45657</v>
      </c>
      <c r="C22" s="6" t="s">
        <v>26</v>
      </c>
      <c r="D22" s="6" t="s">
        <v>16</v>
      </c>
      <c r="E22" s="6" t="s">
        <v>10</v>
      </c>
      <c r="F22" s="6">
        <v>1</v>
      </c>
      <c r="G22" s="6">
        <v>5</v>
      </c>
      <c r="H22" s="6"/>
      <c r="I22" s="6"/>
      <c r="J22" s="4" t="s">
        <v>78</v>
      </c>
      <c r="K22" s="5">
        <v>45657</v>
      </c>
      <c r="L22" s="6" t="s">
        <v>26</v>
      </c>
      <c r="M22" s="6" t="s">
        <v>16</v>
      </c>
      <c r="N22" s="6" t="s">
        <v>10</v>
      </c>
      <c r="O22" s="6">
        <v>3</v>
      </c>
      <c r="P22" s="6">
        <v>5</v>
      </c>
      <c r="Q22" s="51" t="s">
        <v>131</v>
      </c>
      <c r="T22" s="34"/>
    </row>
    <row r="23" spans="1:24" x14ac:dyDescent="0.2">
      <c r="A23" s="4" t="s">
        <v>78</v>
      </c>
      <c r="B23" s="5">
        <v>45657</v>
      </c>
      <c r="C23" s="6" t="s">
        <v>26</v>
      </c>
      <c r="D23" s="6" t="s">
        <v>16</v>
      </c>
      <c r="E23" s="6" t="s">
        <v>22</v>
      </c>
      <c r="F23" s="6">
        <v>2</v>
      </c>
      <c r="G23" s="6">
        <v>5</v>
      </c>
      <c r="H23" s="6"/>
      <c r="I23" s="6"/>
      <c r="J23" s="4" t="s">
        <v>78</v>
      </c>
      <c r="K23" s="5">
        <v>45657</v>
      </c>
      <c r="L23" s="6" t="s">
        <v>26</v>
      </c>
      <c r="M23" s="6" t="s">
        <v>16</v>
      </c>
      <c r="N23" s="6" t="s">
        <v>22</v>
      </c>
      <c r="O23" s="6">
        <v>0</v>
      </c>
      <c r="P23" s="6">
        <v>5</v>
      </c>
      <c r="Q23" s="51" t="s">
        <v>130</v>
      </c>
      <c r="T23" s="1"/>
    </row>
    <row r="24" spans="1:24" x14ac:dyDescent="0.2">
      <c r="A24" s="4" t="s">
        <v>78</v>
      </c>
      <c r="B24" s="5">
        <v>45657</v>
      </c>
      <c r="C24" s="6" t="s">
        <v>26</v>
      </c>
      <c r="D24" s="6" t="s">
        <v>16</v>
      </c>
      <c r="E24" s="6" t="s">
        <v>23</v>
      </c>
      <c r="F24" s="6">
        <v>2</v>
      </c>
      <c r="G24" s="6">
        <v>5</v>
      </c>
      <c r="H24" s="6"/>
      <c r="I24" s="6"/>
      <c r="J24" s="4" t="s">
        <v>78</v>
      </c>
      <c r="K24" s="5">
        <v>45657</v>
      </c>
      <c r="L24" s="6" t="s">
        <v>26</v>
      </c>
      <c r="M24" s="6" t="s">
        <v>16</v>
      </c>
      <c r="N24" s="6" t="s">
        <v>23</v>
      </c>
      <c r="O24" s="6">
        <v>2</v>
      </c>
      <c r="P24" s="6">
        <v>5</v>
      </c>
      <c r="T24" s="34"/>
    </row>
    <row r="25" spans="1:24" x14ac:dyDescent="0.2">
      <c r="A25" s="8" t="s">
        <v>49</v>
      </c>
      <c r="B25" s="22"/>
      <c r="C25" s="22"/>
      <c r="D25" s="22"/>
      <c r="E25" s="22"/>
      <c r="F25" s="22">
        <f>SUM(F7:F24)</f>
        <v>19</v>
      </c>
      <c r="G25" s="22">
        <f>SUM(G7:G24)</f>
        <v>90</v>
      </c>
      <c r="J25" s="8" t="s">
        <v>49</v>
      </c>
      <c r="K25" s="22"/>
      <c r="L25" s="22"/>
      <c r="M25" s="22"/>
      <c r="N25" s="22"/>
      <c r="O25" s="22">
        <f>SUM(O7:O24)</f>
        <v>33</v>
      </c>
      <c r="P25" s="22">
        <f>SUM(P7:P24)</f>
        <v>90</v>
      </c>
      <c r="T25" s="1"/>
    </row>
    <row r="26" spans="1:24" x14ac:dyDescent="0.2">
      <c r="A26" s="23" t="s">
        <v>75</v>
      </c>
      <c r="B26" s="22"/>
      <c r="C26" s="22"/>
      <c r="D26" s="22"/>
      <c r="E26" s="22"/>
      <c r="F26" s="22"/>
      <c r="G26" s="24">
        <f>F25/G25</f>
        <v>0.21111111111111111</v>
      </c>
      <c r="J26" s="23" t="s">
        <v>75</v>
      </c>
      <c r="K26" s="22"/>
      <c r="L26" s="22"/>
      <c r="M26" s="22"/>
      <c r="N26" s="22"/>
      <c r="O26" s="22"/>
      <c r="P26" s="24">
        <f>O25/P25</f>
        <v>0.36666666666666664</v>
      </c>
      <c r="T26" s="34"/>
    </row>
    <row r="27" spans="1:24" x14ac:dyDescent="0.2">
      <c r="A27" s="28" t="s">
        <v>74</v>
      </c>
      <c r="B27" s="29"/>
      <c r="C27" s="30"/>
      <c r="D27" s="30"/>
      <c r="E27" s="30"/>
      <c r="F27" s="30"/>
      <c r="G27" s="31">
        <f>(SUM(F7:F14)/SUM(G7:G14))*0.7+(SUM(F17:F24)/SUM(G17:G24))*0.2+(SUM(F15:F16)/SUM(G15:G16))*0.1</f>
        <v>0.1825</v>
      </c>
      <c r="J27" s="28" t="s">
        <v>74</v>
      </c>
      <c r="K27" s="29"/>
      <c r="L27" s="30"/>
      <c r="M27" s="30"/>
      <c r="N27" s="30"/>
      <c r="O27" s="30"/>
      <c r="P27" s="31">
        <f>(SUM(O7:O14)/SUM(P7:P14))*0.7+(SUM(O17:O24)/SUM(P17:P24))*0.2+(SUM(O15:O16)/SUM(P15:P16))*0.1</f>
        <v>0.41499999999999998</v>
      </c>
      <c r="T27" s="1"/>
    </row>
    <row r="28" spans="1:24" x14ac:dyDescent="0.2">
      <c r="A28" s="2"/>
      <c r="G28" s="27"/>
      <c r="J28" s="2"/>
      <c r="P28" s="27"/>
      <c r="T28" s="34"/>
    </row>
    <row r="29" spans="1:24" ht="22" x14ac:dyDescent="0.3">
      <c r="A29" s="3" t="s">
        <v>72</v>
      </c>
      <c r="T29" s="1"/>
    </row>
    <row r="30" spans="1:24" x14ac:dyDescent="0.2">
      <c r="A30" s="9" t="s">
        <v>27</v>
      </c>
      <c r="B30" s="36" t="s">
        <v>28</v>
      </c>
      <c r="C30" s="66" t="s">
        <v>29</v>
      </c>
      <c r="D30" s="66"/>
      <c r="E30" s="66"/>
      <c r="F30" s="66"/>
      <c r="G30" s="10" t="s">
        <v>30</v>
      </c>
      <c r="J30" s="9" t="s">
        <v>27</v>
      </c>
      <c r="K30" s="9" t="s">
        <v>28</v>
      </c>
      <c r="L30" s="32" t="s">
        <v>29</v>
      </c>
      <c r="M30" s="32"/>
      <c r="N30" s="32"/>
      <c r="O30" s="32"/>
      <c r="P30" s="10" t="s">
        <v>30</v>
      </c>
      <c r="Q30" s="10"/>
      <c r="R30" s="9" t="s">
        <v>27</v>
      </c>
      <c r="S30" s="9" t="s">
        <v>28</v>
      </c>
      <c r="T30" s="32" t="s">
        <v>29</v>
      </c>
      <c r="U30" s="32"/>
      <c r="V30" s="32"/>
      <c r="W30" s="32"/>
      <c r="X30" t="s">
        <v>68</v>
      </c>
    </row>
    <row r="31" spans="1:24" ht="34" customHeight="1" x14ac:dyDescent="0.2">
      <c r="A31" s="10"/>
      <c r="B31" s="10"/>
      <c r="C31" s="11" t="s">
        <v>85</v>
      </c>
      <c r="D31" s="12" t="s">
        <v>86</v>
      </c>
      <c r="E31" s="11" t="s">
        <v>31</v>
      </c>
      <c r="F31" s="12" t="s">
        <v>32</v>
      </c>
      <c r="G31" s="10" t="s">
        <v>35</v>
      </c>
      <c r="J31" s="10"/>
      <c r="K31" s="40"/>
      <c r="L31" s="41" t="s">
        <v>85</v>
      </c>
      <c r="M31" s="42" t="s">
        <v>86</v>
      </c>
      <c r="N31" s="41" t="s">
        <v>31</v>
      </c>
      <c r="O31" s="42" t="s">
        <v>32</v>
      </c>
      <c r="P31" s="10"/>
      <c r="Q31" s="38"/>
      <c r="R31" s="10"/>
      <c r="T31" s="11" t="s">
        <v>85</v>
      </c>
      <c r="U31" s="12" t="s">
        <v>86</v>
      </c>
      <c r="V31" s="11" t="s">
        <v>31</v>
      </c>
      <c r="W31" s="12" t="s">
        <v>32</v>
      </c>
      <c r="X31" s="10" t="s">
        <v>69</v>
      </c>
    </row>
    <row r="32" spans="1:24" ht="29" customHeight="1" x14ac:dyDescent="0.2">
      <c r="A32" s="10" t="s">
        <v>33</v>
      </c>
      <c r="B32" s="17" t="s">
        <v>87</v>
      </c>
      <c r="C32" s="37" t="s">
        <v>34</v>
      </c>
      <c r="D32" s="37">
        <v>3</v>
      </c>
      <c r="E32" s="37" t="s">
        <v>34</v>
      </c>
      <c r="F32" s="37">
        <v>3</v>
      </c>
      <c r="H32" s="10"/>
      <c r="J32" s="10" t="s">
        <v>51</v>
      </c>
      <c r="K32" s="10" t="s">
        <v>92</v>
      </c>
      <c r="L32" s="37" t="s">
        <v>34</v>
      </c>
      <c r="M32" s="37">
        <v>1</v>
      </c>
      <c r="N32" s="37" t="s">
        <v>34</v>
      </c>
      <c r="O32" s="37">
        <v>1</v>
      </c>
      <c r="P32" s="10"/>
      <c r="Q32" s="10"/>
      <c r="R32" s="10" t="s">
        <v>57</v>
      </c>
      <c r="S32" s="17" t="s">
        <v>82</v>
      </c>
      <c r="T32" s="37" t="s">
        <v>34</v>
      </c>
      <c r="U32" s="37">
        <v>2</v>
      </c>
      <c r="V32" s="37" t="s">
        <v>90</v>
      </c>
      <c r="W32" s="37">
        <v>1</v>
      </c>
    </row>
    <row r="33" spans="1:23" ht="38" customHeight="1" x14ac:dyDescent="0.2">
      <c r="A33" s="10" t="s">
        <v>36</v>
      </c>
      <c r="B33" s="16" t="s">
        <v>93</v>
      </c>
      <c r="C33" s="37" t="s">
        <v>34</v>
      </c>
      <c r="D33" s="37">
        <v>3</v>
      </c>
      <c r="E33" s="37" t="s">
        <v>34</v>
      </c>
      <c r="F33" s="37">
        <v>3</v>
      </c>
      <c r="G33" s="10" t="s">
        <v>37</v>
      </c>
      <c r="J33" s="10" t="s">
        <v>52</v>
      </c>
      <c r="K33" s="10" t="s">
        <v>92</v>
      </c>
      <c r="L33" s="37" t="s">
        <v>34</v>
      </c>
      <c r="M33" s="37">
        <v>1</v>
      </c>
      <c r="N33" s="37" t="s">
        <v>34</v>
      </c>
      <c r="O33" s="37">
        <v>1</v>
      </c>
      <c r="P33" s="10"/>
      <c r="Q33" s="10"/>
      <c r="R33" s="10" t="s">
        <v>58</v>
      </c>
      <c r="S33" s="17" t="s">
        <v>80</v>
      </c>
      <c r="T33" s="37" t="s">
        <v>56</v>
      </c>
      <c r="U33" s="37">
        <v>0.75</v>
      </c>
      <c r="V33" s="37" t="s">
        <v>56</v>
      </c>
      <c r="W33" s="37">
        <v>0.25</v>
      </c>
    </row>
    <row r="34" spans="1:23" ht="28" x14ac:dyDescent="0.2">
      <c r="A34" s="10" t="s">
        <v>38</v>
      </c>
      <c r="B34" s="17" t="s">
        <v>92</v>
      </c>
      <c r="C34" s="37" t="s">
        <v>34</v>
      </c>
      <c r="D34" s="37">
        <v>1</v>
      </c>
      <c r="E34" s="37" t="s">
        <v>39</v>
      </c>
      <c r="F34" s="37">
        <v>1</v>
      </c>
      <c r="G34" s="10" t="s">
        <v>37</v>
      </c>
      <c r="J34" s="10" t="s">
        <v>53</v>
      </c>
      <c r="K34" s="10" t="s">
        <v>92</v>
      </c>
      <c r="L34" s="37" t="s">
        <v>34</v>
      </c>
      <c r="M34" s="37">
        <v>1</v>
      </c>
      <c r="N34" s="37" t="s">
        <v>34</v>
      </c>
      <c r="O34" s="37">
        <v>1</v>
      </c>
      <c r="P34" s="10"/>
      <c r="Q34" s="10"/>
      <c r="R34" s="10" t="s">
        <v>59</v>
      </c>
      <c r="S34" s="17" t="s">
        <v>82</v>
      </c>
      <c r="T34" s="37" t="s">
        <v>34</v>
      </c>
      <c r="U34" s="37">
        <v>3</v>
      </c>
      <c r="V34" s="10"/>
      <c r="W34" s="10"/>
    </row>
    <row r="35" spans="1:23" ht="32" customHeight="1" x14ac:dyDescent="0.2">
      <c r="A35" s="10" t="s">
        <v>40</v>
      </c>
      <c r="B35" s="16" t="s">
        <v>80</v>
      </c>
      <c r="C35" s="37" t="s">
        <v>34</v>
      </c>
      <c r="D35" s="37">
        <v>1</v>
      </c>
      <c r="E35" s="10"/>
      <c r="F35" s="10"/>
      <c r="G35" s="10" t="s">
        <v>41</v>
      </c>
      <c r="J35" s="10" t="s">
        <v>54</v>
      </c>
      <c r="K35" s="10" t="s">
        <v>92</v>
      </c>
      <c r="L35" s="37" t="s">
        <v>34</v>
      </c>
      <c r="M35" s="37">
        <v>1</v>
      </c>
      <c r="N35" s="37" t="s">
        <v>34</v>
      </c>
      <c r="O35" s="37">
        <v>1</v>
      </c>
      <c r="P35" s="10"/>
      <c r="Q35" s="10"/>
      <c r="R35" s="10" t="s">
        <v>60</v>
      </c>
      <c r="S35" s="17" t="s">
        <v>80</v>
      </c>
      <c r="T35" s="37" t="s">
        <v>34</v>
      </c>
      <c r="U35" s="37">
        <v>1</v>
      </c>
      <c r="V35" s="10"/>
      <c r="W35" s="10"/>
    </row>
    <row r="36" spans="1:23" ht="28" x14ac:dyDescent="0.2">
      <c r="A36" s="10" t="s">
        <v>42</v>
      </c>
      <c r="B36" s="17" t="s">
        <v>107</v>
      </c>
      <c r="C36" s="37" t="s">
        <v>34</v>
      </c>
      <c r="D36" s="37">
        <v>0.5</v>
      </c>
      <c r="E36" s="10"/>
      <c r="F36" s="10"/>
      <c r="G36" s="10" t="s">
        <v>43</v>
      </c>
      <c r="J36" s="10" t="s">
        <v>55</v>
      </c>
      <c r="K36" s="10" t="s">
        <v>92</v>
      </c>
      <c r="L36" s="37" t="s">
        <v>34</v>
      </c>
      <c r="M36" s="37">
        <v>1</v>
      </c>
      <c r="N36" s="37" t="s">
        <v>34</v>
      </c>
      <c r="O36" s="37">
        <v>1</v>
      </c>
      <c r="P36" s="10"/>
      <c r="Q36" s="10"/>
      <c r="R36" s="10" t="s">
        <v>49</v>
      </c>
      <c r="S36" s="17" t="s">
        <v>106</v>
      </c>
      <c r="T36" s="13"/>
      <c r="U36" s="13"/>
      <c r="V36" s="13"/>
      <c r="W36" s="13"/>
    </row>
    <row r="37" spans="1:23" ht="27" customHeight="1" x14ac:dyDescent="0.2">
      <c r="A37" s="10" t="s">
        <v>44</v>
      </c>
      <c r="B37" s="16" t="s">
        <v>107</v>
      </c>
      <c r="C37" s="37" t="s">
        <v>34</v>
      </c>
      <c r="D37" s="37">
        <v>0.5</v>
      </c>
      <c r="E37" s="10" t="s">
        <v>45</v>
      </c>
      <c r="F37" s="10"/>
      <c r="G37" s="10" t="s">
        <v>43</v>
      </c>
      <c r="H37" s="10" t="s">
        <v>77</v>
      </c>
      <c r="J37" s="10" t="s">
        <v>49</v>
      </c>
      <c r="K37" s="10" t="s">
        <v>94</v>
      </c>
      <c r="L37" s="43"/>
      <c r="M37" s="43"/>
      <c r="N37" s="43"/>
      <c r="O37" s="43"/>
      <c r="P37" s="13"/>
      <c r="Q37" s="13"/>
      <c r="R37" s="25" t="s">
        <v>49</v>
      </c>
      <c r="S37" s="24">
        <f>6/8</f>
        <v>0.75</v>
      </c>
      <c r="T37" s="50" t="s">
        <v>129</v>
      </c>
    </row>
    <row r="38" spans="1:23" x14ac:dyDescent="0.2">
      <c r="A38" s="65" t="s">
        <v>46</v>
      </c>
      <c r="B38" s="67" t="s">
        <v>97</v>
      </c>
      <c r="C38" s="37" t="s">
        <v>34</v>
      </c>
      <c r="D38" s="37">
        <v>0.5</v>
      </c>
      <c r="E38" s="68" t="s">
        <v>34</v>
      </c>
      <c r="F38" s="68">
        <v>1</v>
      </c>
      <c r="G38" s="65" t="s">
        <v>47</v>
      </c>
      <c r="J38" s="25" t="s">
        <v>49</v>
      </c>
      <c r="K38" s="24">
        <f>0/10</f>
        <v>0</v>
      </c>
    </row>
    <row r="39" spans="1:23" ht="16" customHeight="1" x14ac:dyDescent="0.2">
      <c r="A39" s="65"/>
      <c r="B39" s="65"/>
      <c r="C39" s="37" t="s">
        <v>48</v>
      </c>
      <c r="D39" s="37">
        <v>0.5</v>
      </c>
      <c r="E39" s="68"/>
      <c r="F39" s="68"/>
      <c r="G39" s="65"/>
    </row>
    <row r="40" spans="1:23" x14ac:dyDescent="0.2">
      <c r="A40" s="10" t="s">
        <v>49</v>
      </c>
      <c r="B40" s="17" t="s">
        <v>108</v>
      </c>
      <c r="C40" s="13"/>
      <c r="D40" s="13"/>
      <c r="E40" s="13"/>
      <c r="F40" s="13"/>
      <c r="G40" s="13"/>
      <c r="H40" s="13"/>
      <c r="I40" s="13"/>
    </row>
    <row r="41" spans="1:23" x14ac:dyDescent="0.2">
      <c r="A41" s="25" t="s">
        <v>49</v>
      </c>
      <c r="B41" s="26">
        <f>6.5/18</f>
        <v>0.3611111111111111</v>
      </c>
      <c r="C41" s="13"/>
      <c r="D41" s="13"/>
      <c r="E41" s="13"/>
      <c r="F41" s="13"/>
      <c r="G41" s="13"/>
      <c r="H41" s="13"/>
      <c r="I41" s="13"/>
    </row>
    <row r="43" spans="1:23" x14ac:dyDescent="0.2">
      <c r="A43" s="8" t="s">
        <v>0</v>
      </c>
      <c r="B43" s="8" t="s">
        <v>1</v>
      </c>
      <c r="C43" s="8" t="s">
        <v>2</v>
      </c>
      <c r="D43" s="8" t="s">
        <v>3</v>
      </c>
      <c r="E43" s="8" t="s">
        <v>4</v>
      </c>
      <c r="F43" s="8" t="s">
        <v>5</v>
      </c>
      <c r="G43" s="8" t="s">
        <v>6</v>
      </c>
    </row>
    <row r="44" spans="1:23" x14ac:dyDescent="0.2">
      <c r="A44" s="4" t="s">
        <v>25</v>
      </c>
      <c r="B44" s="5">
        <v>45657</v>
      </c>
      <c r="C44" s="6" t="s">
        <v>26</v>
      </c>
      <c r="D44" s="6" t="s">
        <v>7</v>
      </c>
      <c r="E44" s="6" t="s">
        <v>8</v>
      </c>
      <c r="F44" s="6">
        <v>1</v>
      </c>
      <c r="G44" s="6">
        <v>5</v>
      </c>
      <c r="H44" s="18">
        <f>B41</f>
        <v>0.3611111111111111</v>
      </c>
    </row>
    <row r="45" spans="1:23" x14ac:dyDescent="0.2">
      <c r="A45" s="4" t="s">
        <v>25</v>
      </c>
      <c r="B45" s="5">
        <v>45657</v>
      </c>
      <c r="C45" s="6" t="s">
        <v>26</v>
      </c>
      <c r="D45" s="6" t="s">
        <v>7</v>
      </c>
      <c r="E45" s="6" t="s">
        <v>9</v>
      </c>
      <c r="F45" s="6">
        <v>3</v>
      </c>
      <c r="G45" s="6">
        <v>5</v>
      </c>
    </row>
    <row r="46" spans="1:23" x14ac:dyDescent="0.2">
      <c r="A46" s="4" t="s">
        <v>25</v>
      </c>
      <c r="B46" s="5">
        <v>45657</v>
      </c>
      <c r="C46" s="6" t="s">
        <v>26</v>
      </c>
      <c r="D46" s="6" t="s">
        <v>7</v>
      </c>
      <c r="E46" s="6" t="s">
        <v>10</v>
      </c>
      <c r="F46" s="6">
        <v>3</v>
      </c>
      <c r="G46" s="6">
        <v>5</v>
      </c>
    </row>
    <row r="47" spans="1:23" x14ac:dyDescent="0.2">
      <c r="A47" s="4" t="s">
        <v>25</v>
      </c>
      <c r="B47" s="5">
        <v>45657</v>
      </c>
      <c r="C47" s="6" t="s">
        <v>26</v>
      </c>
      <c r="D47" s="6" t="s">
        <v>7</v>
      </c>
      <c r="E47" s="6" t="s">
        <v>12</v>
      </c>
      <c r="F47" s="6">
        <v>3</v>
      </c>
      <c r="G47" s="6">
        <v>5</v>
      </c>
      <c r="H47" s="19">
        <v>0.71</v>
      </c>
    </row>
    <row r="48" spans="1:23" x14ac:dyDescent="0.2">
      <c r="A48" s="4" t="s">
        <v>25</v>
      </c>
      <c r="B48" s="5">
        <v>45657</v>
      </c>
      <c r="C48" s="6" t="s">
        <v>26</v>
      </c>
      <c r="D48" s="6" t="s">
        <v>7</v>
      </c>
      <c r="E48" s="6" t="s">
        <v>14</v>
      </c>
      <c r="F48" s="6">
        <v>1</v>
      </c>
      <c r="G48" s="6">
        <v>3</v>
      </c>
    </row>
    <row r="49" spans="1:8" x14ac:dyDescent="0.2">
      <c r="A49" s="4" t="s">
        <v>25</v>
      </c>
      <c r="B49" s="5">
        <v>45658</v>
      </c>
      <c r="C49" s="6" t="s">
        <v>26</v>
      </c>
      <c r="D49" s="6" t="s">
        <v>50</v>
      </c>
      <c r="E49" s="6" t="s">
        <v>8</v>
      </c>
      <c r="F49" s="6">
        <v>0</v>
      </c>
      <c r="G49" s="6">
        <v>5</v>
      </c>
      <c r="H49" s="18">
        <f>K38</f>
        <v>0</v>
      </c>
    </row>
    <row r="50" spans="1:8" x14ac:dyDescent="0.2">
      <c r="A50" s="4" t="s">
        <v>25</v>
      </c>
      <c r="B50" s="5">
        <v>45659</v>
      </c>
      <c r="C50" s="6" t="s">
        <v>26</v>
      </c>
      <c r="D50" s="6" t="s">
        <v>50</v>
      </c>
      <c r="E50" s="6" t="s">
        <v>10</v>
      </c>
      <c r="F50" s="6">
        <v>0</v>
      </c>
      <c r="G50" s="6">
        <v>5</v>
      </c>
    </row>
    <row r="51" spans="1:8" x14ac:dyDescent="0.2">
      <c r="A51" s="4" t="s">
        <v>25</v>
      </c>
      <c r="B51" s="5">
        <v>45660</v>
      </c>
      <c r="C51" s="6" t="s">
        <v>26</v>
      </c>
      <c r="D51" s="6" t="s">
        <v>50</v>
      </c>
      <c r="E51" s="6" t="s">
        <v>14</v>
      </c>
      <c r="F51" s="6">
        <v>0</v>
      </c>
      <c r="G51" s="6">
        <v>3</v>
      </c>
    </row>
    <row r="52" spans="1:8" x14ac:dyDescent="0.2">
      <c r="A52" s="4" t="s">
        <v>25</v>
      </c>
      <c r="B52" s="5">
        <v>45657</v>
      </c>
      <c r="C52" s="6" t="s">
        <v>26</v>
      </c>
      <c r="D52" s="6" t="s">
        <v>16</v>
      </c>
      <c r="E52" s="6" t="s">
        <v>8</v>
      </c>
      <c r="F52" s="6">
        <v>4</v>
      </c>
      <c r="G52" s="6">
        <v>5</v>
      </c>
      <c r="H52" s="44">
        <f>S37</f>
        <v>0.75</v>
      </c>
    </row>
    <row r="53" spans="1:8" x14ac:dyDescent="0.2">
      <c r="A53" s="4" t="s">
        <v>25</v>
      </c>
      <c r="B53" s="5">
        <v>45657</v>
      </c>
      <c r="C53" s="6" t="s">
        <v>26</v>
      </c>
      <c r="D53" s="6" t="s">
        <v>16</v>
      </c>
      <c r="E53" s="6" t="s">
        <v>10</v>
      </c>
      <c r="F53" s="6">
        <v>3</v>
      </c>
      <c r="G53" s="6">
        <v>5</v>
      </c>
      <c r="H53" s="6"/>
    </row>
    <row r="54" spans="1:8" x14ac:dyDescent="0.2">
      <c r="A54" s="4" t="s">
        <v>25</v>
      </c>
      <c r="B54" s="5">
        <v>45657</v>
      </c>
      <c r="C54" s="6" t="s">
        <v>26</v>
      </c>
      <c r="D54" s="6" t="s">
        <v>16</v>
      </c>
      <c r="E54" s="6" t="s">
        <v>14</v>
      </c>
      <c r="F54" s="6">
        <v>0</v>
      </c>
      <c r="G54" s="6">
        <v>3</v>
      </c>
      <c r="H54" s="6"/>
    </row>
    <row r="55" spans="1:8" x14ac:dyDescent="0.2">
      <c r="A55" s="8" t="s">
        <v>62</v>
      </c>
      <c r="B55" s="14"/>
      <c r="C55" s="15"/>
      <c r="D55" s="15"/>
      <c r="E55" s="15"/>
      <c r="F55" s="15">
        <f>SUM(F44:F54)</f>
        <v>18</v>
      </c>
      <c r="G55" s="15">
        <f>SUM(G44:G54)</f>
        <v>49</v>
      </c>
    </row>
    <row r="56" spans="1:8" x14ac:dyDescent="0.2">
      <c r="A56" s="8" t="s">
        <v>73</v>
      </c>
      <c r="B56" s="14"/>
      <c r="C56" s="15"/>
      <c r="D56" s="15"/>
      <c r="E56" s="15"/>
      <c r="F56" s="15"/>
      <c r="G56" s="21">
        <f>F55/G55</f>
        <v>0.36734693877551022</v>
      </c>
    </row>
    <row r="57" spans="1:8" x14ac:dyDescent="0.2">
      <c r="A57" s="8" t="s">
        <v>74</v>
      </c>
      <c r="B57" s="14"/>
      <c r="C57" s="15"/>
      <c r="D57" s="15"/>
      <c r="E57" s="15"/>
      <c r="F57" s="15"/>
      <c r="G57" s="21">
        <f>(SUM(F44:F48)/SUM(G44:G48))*0.7+(SUM(F52:F54)/SUM(G52:G54))*0.2+(SUM(F49:F51)/SUM(G49:G51))*0.1</f>
        <v>0.44247491638795988</v>
      </c>
      <c r="H57" s="6"/>
    </row>
    <row r="58" spans="1:8" ht="17" thickBot="1" x14ac:dyDescent="0.25">
      <c r="A58" s="4"/>
      <c r="B58" s="5"/>
      <c r="C58" s="6"/>
      <c r="D58" s="6"/>
      <c r="E58" s="6"/>
      <c r="F58" s="6"/>
      <c r="G58" s="6"/>
    </row>
    <row r="59" spans="1:8" x14ac:dyDescent="0.2">
      <c r="A59" s="54" t="s">
        <v>132</v>
      </c>
      <c r="B59" s="55"/>
      <c r="C59" s="56"/>
      <c r="D59" s="56"/>
      <c r="E59" s="56"/>
      <c r="F59" s="56"/>
      <c r="G59" s="57">
        <f>SUM(F44:F48)/SUM(G44:G48)</f>
        <v>0.47826086956521741</v>
      </c>
    </row>
    <row r="60" spans="1:8" x14ac:dyDescent="0.2">
      <c r="A60" s="58" t="s">
        <v>133</v>
      </c>
      <c r="B60" s="5"/>
      <c r="C60" s="6"/>
      <c r="D60" s="6"/>
      <c r="E60" s="6"/>
      <c r="F60" s="6"/>
      <c r="G60" s="62">
        <f>SUM(F49:F51)/SUM(G49:G51)</f>
        <v>0</v>
      </c>
    </row>
    <row r="61" spans="1:8" ht="17" thickBot="1" x14ac:dyDescent="0.25">
      <c r="A61" s="61" t="s">
        <v>134</v>
      </c>
      <c r="B61" s="59"/>
      <c r="C61" s="59"/>
      <c r="D61" s="59"/>
      <c r="E61" s="59"/>
      <c r="F61" s="59"/>
      <c r="G61" s="63">
        <f>SUM(F52:F54)/SUM(G52:G54)</f>
        <v>0.53846153846153844</v>
      </c>
    </row>
  </sheetData>
  <mergeCells count="6">
    <mergeCell ref="G38:G39"/>
    <mergeCell ref="C30:F30"/>
    <mergeCell ref="A38:A39"/>
    <mergeCell ref="B38:B39"/>
    <mergeCell ref="E38:E39"/>
    <mergeCell ref="F38:F39"/>
  </mergeCells>
  <conditionalFormatting sqref="O7:O23 F7:F24">
    <cfRule type="expression" dxfId="0" priority="1">
      <formula>$F7&lt;&gt;$O7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Nordea</vt:lpstr>
      <vt:lpstr>Commerzbank</vt:lpstr>
      <vt:lpstr>Ageas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Andreu</dc:creator>
  <cp:lastModifiedBy>Eddy-Pierre Larra</cp:lastModifiedBy>
  <dcterms:created xsi:type="dcterms:W3CDTF">2026-03-16T09:52:40Z</dcterms:created>
  <dcterms:modified xsi:type="dcterms:W3CDTF">2026-03-23T10:13:53Z</dcterms:modified>
</cp:coreProperties>
</file>